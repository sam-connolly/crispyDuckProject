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crispyDuckProject\Admin\"/>
    </mc:Choice>
  </mc:AlternateContent>
  <bookViews>
    <workbookView xWindow="0" yWindow="0" windowWidth="19200" windowHeight="7050" activeTab="1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TaskList!$A$1:$D$62</definedName>
    <definedName name="MainTasks">TaskList!$L$2:$L$59</definedName>
    <definedName name="TaskNum">TaskList!$A$2:$A$62</definedName>
    <definedName name="TaskTable">TaskList!$A$2:$D$62</definedName>
    <definedName name="TaskVal">GANTT!$B$6:$B$99</definedName>
    <definedName name="TaskVal2">GANTT!$ED$6:$ED$99</definedName>
  </definedNames>
  <calcPr calcId="162913"/>
</workbook>
</file>

<file path=xl/calcChain.xml><?xml version="1.0" encoding="utf-8"?>
<calcChain xmlns="http://schemas.openxmlformats.org/spreadsheetml/2006/main">
  <c r="M3" i="6" l="1"/>
  <c r="Q3" i="6" s="1"/>
  <c r="N3" i="6"/>
  <c r="O3" i="6" s="1"/>
  <c r="P3" i="6"/>
  <c r="M4" i="6"/>
  <c r="R4" i="6" s="1"/>
  <c r="N4" i="6"/>
  <c r="O4" i="6" s="1"/>
  <c r="P4" i="6"/>
  <c r="Q4" i="6"/>
  <c r="S3" i="6" l="1"/>
  <c r="S4" i="6"/>
  <c r="R3" i="6"/>
  <c r="L3" i="6"/>
  <c r="E45" i="6"/>
  <c r="L4" i="6"/>
  <c r="E56" i="6"/>
  <c r="M5" i="8" l="1"/>
  <c r="N5" i="8" s="1"/>
  <c r="M6" i="8"/>
  <c r="N6" i="8" s="1"/>
  <c r="K5" i="8"/>
  <c r="L5" i="8"/>
  <c r="K6" i="8"/>
  <c r="L6" i="8" s="1"/>
  <c r="I6" i="8"/>
  <c r="J6" i="8" s="1"/>
  <c r="I5" i="8"/>
  <c r="J5" i="8" s="1"/>
  <c r="L5" i="6" l="1"/>
  <c r="E62" i="6"/>
  <c r="N59" i="6" l="1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S12" i="6" s="1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N2" i="6"/>
  <c r="M2" i="6"/>
  <c r="R9" i="6" l="1"/>
  <c r="R2" i="6"/>
  <c r="M69" i="6"/>
  <c r="B6" i="8" s="1"/>
  <c r="M67" i="6"/>
  <c r="B4" i="8" s="1"/>
  <c r="M70" i="6"/>
  <c r="B7" i="8" s="1"/>
  <c r="M68" i="6"/>
  <c r="B5" i="8" s="1"/>
  <c r="M66" i="6"/>
  <c r="R11" i="6"/>
  <c r="R13" i="6"/>
  <c r="O5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30" i="6"/>
  <c r="Q30" i="6"/>
  <c r="O30" i="6"/>
  <c r="R31" i="6"/>
  <c r="P31" i="6"/>
  <c r="S31" i="6"/>
  <c r="O31" i="6"/>
  <c r="S32" i="6"/>
  <c r="Q32" i="6"/>
  <c r="O32" i="6"/>
  <c r="R32" i="6"/>
  <c r="R33" i="6"/>
  <c r="P33" i="6"/>
  <c r="Q33" i="6"/>
  <c r="S34" i="6"/>
  <c r="Q34" i="6"/>
  <c r="O34" i="6"/>
  <c r="P34" i="6"/>
  <c r="R35" i="6"/>
  <c r="P35" i="6"/>
  <c r="S35" i="6"/>
  <c r="O35" i="6"/>
  <c r="S36" i="6"/>
  <c r="Q36" i="6"/>
  <c r="O36" i="6"/>
  <c r="R36" i="6"/>
  <c r="R37" i="6"/>
  <c r="P37" i="6"/>
  <c r="Q37" i="6"/>
  <c r="S38" i="6"/>
  <c r="Q38" i="6"/>
  <c r="O38" i="6"/>
  <c r="P38" i="6"/>
  <c r="R39" i="6"/>
  <c r="P39" i="6"/>
  <c r="S39" i="6"/>
  <c r="O39" i="6"/>
  <c r="S40" i="6"/>
  <c r="Q40" i="6"/>
  <c r="O40" i="6"/>
  <c r="R40" i="6"/>
  <c r="R41" i="6"/>
  <c r="P41" i="6"/>
  <c r="Q41" i="6"/>
  <c r="S42" i="6"/>
  <c r="Q42" i="6"/>
  <c r="O42" i="6"/>
  <c r="P42" i="6"/>
  <c r="R43" i="6"/>
  <c r="P43" i="6"/>
  <c r="S43" i="6"/>
  <c r="O43" i="6"/>
  <c r="S44" i="6"/>
  <c r="Q44" i="6"/>
  <c r="O44" i="6"/>
  <c r="R44" i="6"/>
  <c r="R45" i="6"/>
  <c r="P45" i="6"/>
  <c r="Q45" i="6"/>
  <c r="S46" i="6"/>
  <c r="Q46" i="6"/>
  <c r="O46" i="6"/>
  <c r="P46" i="6"/>
  <c r="R47" i="6"/>
  <c r="P47" i="6"/>
  <c r="S47" i="6"/>
  <c r="O47" i="6"/>
  <c r="S48" i="6"/>
  <c r="Q48" i="6"/>
  <c r="O48" i="6"/>
  <c r="R48" i="6"/>
  <c r="R49" i="6"/>
  <c r="P49" i="6"/>
  <c r="Q49" i="6"/>
  <c r="S50" i="6"/>
  <c r="Q50" i="6"/>
  <c r="O50" i="6"/>
  <c r="P50" i="6"/>
  <c r="R51" i="6"/>
  <c r="P51" i="6"/>
  <c r="S51" i="6"/>
  <c r="O51" i="6"/>
  <c r="S52" i="6"/>
  <c r="Q52" i="6"/>
  <c r="O52" i="6"/>
  <c r="R52" i="6"/>
  <c r="R53" i="6"/>
  <c r="P53" i="6"/>
  <c r="Q53" i="6"/>
  <c r="S54" i="6"/>
  <c r="Q54" i="6"/>
  <c r="O54" i="6"/>
  <c r="P54" i="6"/>
  <c r="R55" i="6"/>
  <c r="P55" i="6"/>
  <c r="S55" i="6"/>
  <c r="O55" i="6"/>
  <c r="S56" i="6"/>
  <c r="Q56" i="6"/>
  <c r="O56" i="6"/>
  <c r="R56" i="6"/>
  <c r="R57" i="6"/>
  <c r="P57" i="6"/>
  <c r="Q57" i="6"/>
  <c r="S58" i="6"/>
  <c r="Q58" i="6"/>
  <c r="O58" i="6"/>
  <c r="P58" i="6"/>
  <c r="S59" i="6"/>
  <c r="Q59" i="6"/>
  <c r="O59" i="6"/>
  <c r="R59" i="6"/>
  <c r="O2" i="6"/>
  <c r="Q2" i="6"/>
  <c r="S2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S11" i="6"/>
  <c r="P12" i="6"/>
  <c r="R12" i="6"/>
  <c r="O13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Q29" i="6"/>
  <c r="P30" i="6"/>
  <c r="Q31" i="6"/>
  <c r="O33" i="6"/>
  <c r="R34" i="6"/>
  <c r="P36" i="6"/>
  <c r="S37" i="6"/>
  <c r="Q39" i="6"/>
  <c r="O41" i="6"/>
  <c r="R42" i="6"/>
  <c r="P44" i="6"/>
  <c r="S45" i="6"/>
  <c r="Q47" i="6"/>
  <c r="O49" i="6"/>
  <c r="R50" i="6"/>
  <c r="P52" i="6"/>
  <c r="S53" i="6"/>
  <c r="Q55" i="6"/>
  <c r="O57" i="6"/>
  <c r="R58" i="6"/>
  <c r="P59" i="6"/>
  <c r="P2" i="6"/>
  <c r="P5" i="6"/>
  <c r="R5" i="6"/>
  <c r="O6" i="6"/>
  <c r="Q6" i="6"/>
  <c r="P7" i="6"/>
  <c r="O8" i="6"/>
  <c r="Q8" i="6"/>
  <c r="P9" i="6"/>
  <c r="O10" i="6"/>
  <c r="Q10" i="6"/>
  <c r="P11" i="6"/>
  <c r="O12" i="6"/>
  <c r="Q12" i="6"/>
  <c r="P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O29" i="6"/>
  <c r="S29" i="6"/>
  <c r="R30" i="6"/>
  <c r="P32" i="6"/>
  <c r="S33" i="6"/>
  <c r="Q35" i="6"/>
  <c r="O37" i="6"/>
  <c r="R38" i="6"/>
  <c r="P40" i="6"/>
  <c r="S41" i="6"/>
  <c r="Q43" i="6"/>
  <c r="O45" i="6"/>
  <c r="R46" i="6"/>
  <c r="P48" i="6"/>
  <c r="S49" i="6"/>
  <c r="Q51" i="6"/>
  <c r="O53" i="6"/>
  <c r="R54" i="6"/>
  <c r="P56" i="6"/>
  <c r="S57" i="6"/>
  <c r="E3" i="6"/>
  <c r="P67" i="6" l="1"/>
  <c r="E4" i="8" s="1"/>
  <c r="F4" i="8" s="1"/>
  <c r="Q67" i="6"/>
  <c r="G4" i="8" s="1"/>
  <c r="H4" i="8" s="1"/>
  <c r="O67" i="6"/>
  <c r="Q70" i="6"/>
  <c r="G7" i="8" s="1"/>
  <c r="H7" i="8" s="1"/>
  <c r="P70" i="6"/>
  <c r="E7" i="8" s="1"/>
  <c r="F7" i="8" s="1"/>
  <c r="O70" i="6"/>
  <c r="O66" i="6"/>
  <c r="P66" i="6"/>
  <c r="Q66" i="6"/>
  <c r="B3" i="8"/>
  <c r="M71" i="6"/>
  <c r="B9" i="8" s="1"/>
  <c r="Q68" i="6"/>
  <c r="G5" i="8" s="1"/>
  <c r="H5" i="8" s="1"/>
  <c r="O68" i="6"/>
  <c r="P68" i="6"/>
  <c r="E5" i="8" s="1"/>
  <c r="F5" i="8" s="1"/>
  <c r="P69" i="6"/>
  <c r="E6" i="8" s="1"/>
  <c r="F6" i="8" s="1"/>
  <c r="Q69" i="6"/>
  <c r="G6" i="8" s="1"/>
  <c r="H6" i="8" s="1"/>
  <c r="O69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R66" i="6" l="1"/>
  <c r="C7" i="8"/>
  <c r="D7" i="8" s="1"/>
  <c r="R70" i="6"/>
  <c r="C4" i="8"/>
  <c r="D4" i="8" s="1"/>
  <c r="R67" i="6"/>
  <c r="C6" i="8"/>
  <c r="D6" i="8" s="1"/>
  <c r="R69" i="6"/>
  <c r="C5" i="8"/>
  <c r="D5" i="8" s="1"/>
  <c r="R68" i="6"/>
  <c r="E3" i="8"/>
  <c r="F3" i="8" s="1"/>
  <c r="P71" i="6"/>
  <c r="B11" i="8" s="1"/>
  <c r="Q71" i="6"/>
  <c r="B12" i="8" s="1"/>
  <c r="G3" i="8"/>
  <c r="H3" i="8" s="1"/>
  <c r="O71" i="6"/>
  <c r="C3" i="8"/>
  <c r="D3" i="8" s="1"/>
  <c r="E10" i="6"/>
  <c r="B10" i="8" l="1"/>
  <c r="R71" i="6"/>
  <c r="E30" i="6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2" i="6"/>
  <c r="E51" i="6"/>
  <c r="E50" i="6"/>
  <c r="E49" i="6"/>
  <c r="E48" i="6"/>
  <c r="E47" i="6"/>
  <c r="E46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8" i="6"/>
  <c r="E57" i="6"/>
  <c r="E55" i="6"/>
  <c r="E54" i="6"/>
  <c r="E53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EB26" i="1" l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C30" i="1"/>
  <c r="ED30" i="1"/>
  <c r="EC32" i="1"/>
  <c r="ED32" i="1"/>
  <c r="EE32" i="1" s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0" i="1" l="1"/>
  <c r="EE28" i="1"/>
  <c r="EE29" i="1"/>
  <c r="ED25" i="1"/>
  <c r="EE25" i="1" s="1"/>
  <c r="EC26" i="1"/>
  <c r="EE26" i="1" s="1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C31" i="1"/>
  <c r="ED31" i="1"/>
  <c r="EE31" i="1" s="1"/>
  <c r="EF6" i="1" s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<sst xmlns="http://schemas.openxmlformats.org/spreadsheetml/2006/main" count="667" uniqueCount="232">
  <si>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</si>
  <si>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</si>
  <si>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</si>
  <si>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</si>
  <si>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</si>
  <si>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</si>
  <si>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</si>
  <si>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</si>
  <si>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</si>
  <si>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</si>
  <si>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</si>
  <si>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</si>
  <si>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</si>
  <si>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</si>
  <si>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</si>
  <si>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</si>
  <si>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</si>
  <si>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</si>
  <si>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</si>
  <si>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</si>
  <si>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</si>
  <si>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</si>
  <si>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</si>
  <si>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</si>
  <si>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</si>
  <si>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</si>
  <si>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</si>
  <si>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</si>
  <si>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</si>
  <si>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</si>
  <si>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</si>
  <si>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</si>
  <si>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</si>
  <si>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</si>
  <si>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</si>
  <si>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</si>
  <si>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</si>
  <si>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</si>
  <si>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</si>
  <si>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</si>
  <si>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</si>
  <si>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</si>
  <si>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</si>
  <si>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</si>
  <si>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</si>
  <si>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</si>
  <si>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</si>
  <si>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</si>
  <si>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</si>
  <si>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</si>
  <si>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</si>
  <si>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</si>
  <si>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</si>
  <si>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</si>
  <si>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</si>
  <si>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</si>
  <si>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</si>
  <si>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</si>
  <si>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</si>
  <si>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</si>
  <si>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</si>
  <si>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</si>
  <si>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</si>
  <si>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</si>
  <si>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</si>
  <si>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</si>
  <si>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</si>
  <si>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</si>
  <si>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</si>
  <si>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</si>
  <si>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</si>
  <si>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</si>
  <si>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</si>
  <si>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</si>
  <si>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</si>
  <si>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</si>
  <si>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</si>
  <si>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</si>
  <si>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</si>
  <si>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</si>
  <si>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</si>
  <si>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</si>
  <si>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</si>
  <si>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</si>
  <si>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</si>
  <si>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</si>
  <si>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</si>
  <si>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</si>
  <si>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</si>
  <si>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</si>
  <si>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</si>
  <si>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</si>
  <si>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</si>
  <si>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</si>
  <si>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</si>
  <si>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</si>
  <si>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</si>
  <si>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</si>
  <si>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</si>
  <si>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</si>
  <si>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</si>
  <si>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</si>
  <si>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</si>
  <si>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</si>
  <si>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</si>
  <si>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</si>
  <si>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</si>
  <si>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</si>
  <si>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</si>
  <si>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</si>
  <si>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</si>
  <si>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</si>
  <si>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</si>
  <si>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</si>
  <si>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</si>
  <si>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</si>
  <si>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</si>
  <si>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</si>
  <si>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</si>
  <si>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</si>
  <si>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</si>
  <si>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</si>
  <si>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</si>
  <si>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</si>
  <si>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</si>
  <si>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</si>
  <si>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</si>
  <si>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</si>
  <si>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</si>
  <si>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</si>
  <si>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</si>
  <si>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</si>
  <si>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</si>
  <si>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</si>
  <si>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</si>
  <si>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</si>
  <si>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</si>
  <si>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</si>
  <si>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</si>
  <si>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</si>
  <si>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</si>
  <si>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</si>
  <si>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</si>
  <si>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</si>
  <si>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</si>
  <si>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</si>
  <si>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</si>
  <si>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</si>
  <si>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</si>
  <si>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</si>
  <si>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</si>
  <si>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</si>
  <si>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</si>
  <si>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</si>
  <si>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</si>
  <si>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</si>
  <si>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</si>
  <si>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</si>
  <si>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</si>
  <si>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</si>
  <si>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</si>
  <si>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</si>
  <si>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</si>
  <si>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</si>
  <si>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</si>
  <si>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</si>
  <si>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</si>
  <si>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</si>
  <si>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</si>
  <si>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</si>
  <si>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</si>
  <si>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</si>
  <si>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</si>
  <si>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</si>
  <si>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</si>
  <si>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</si>
  <si>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</si>
  <si>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</si>
  <si>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</si>
  <si>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</si>
  <si>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</si>
  <si>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</si>
  <si>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</si>
  <si>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</si>
  <si>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</si>
  <si>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</si>
  <si>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</si>
  <si>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</si>
  <si>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</si>
  <si>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</si>
  <si>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</si>
  <si>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</si>
  <si>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</si>
  <si>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</si>
  <si>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</si>
  <si>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</si>
  <si>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</si>
  <si>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</si>
  <si>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</si>
  <si>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</si>
  <si>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</si>
  <si>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</si>
  <si>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</si>
  <si>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</si>
  <si>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</si>
  <si>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</si>
  <si>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</si>
  <si>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</si>
  <si>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</si>
  <si>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</si>
  <si>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</si>
  <si>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</si>
  <si>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</si>
  <si>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</si>
  <si>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</si>
  <si>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</si>
  <si>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</si>
  <si>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</si>
  <si>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</si>
  <si>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</si>
  <si>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</si>
  <si>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</si>
  <si>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</si>
  <si>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</si>
  <si>
    <t>A</t>
  </si>
  <si>
    <t>J01</t>
  </si>
  <si>
    <t>Login UI</t>
  </si>
  <si>
    <t>H12</t>
  </si>
  <si>
    <t>employee screen for manager</t>
  </si>
  <si>
    <t>H12 Login UI</t>
  </si>
  <si>
    <t>Just GUI not coded</t>
  </si>
  <si>
    <t>J01 employee screen for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</si>
</sst>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8" fillId="0" borderId="5" xfId="0" applyFont="1" applyBorder="1" applyAlignment="1">
      <alignment horizontal="left" vertical="top" wrapText="1"/>
    </xf>
    <xf numFmtId="0" fontId="0" fillId="0" borderId="0" xfId="0" applyFont="1" applyAlignment="1"/>
    <xf numFmtId="0" fontId="0" fillId="0" borderId="9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2" fillId="0" borderId="9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2" borderId="0" xfId="0" applyFont="1" applyFill="1"/>
    <xf numFmtId="0" fontId="0" fillId="0" borderId="0" xfId="0" applyFont="1" applyAlignment="1"/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6" name="AutoShap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7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8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2"/>
  <sheetViews>
    <sheetView zoomScale="90" zoomScaleNormal="90" workbookViewId="0">
      <pane xSplit="4" ySplit="3" topLeftCell="DY16" activePane="bottomRight" state="frozen"/>
      <selection pane="topRight" activeCell="D1" sqref="D1"/>
      <selection pane="bottomLeft" activeCell="A4" sqref="A4"/>
      <selection pane="bottomRight" activeCell="EB33" sqref="EB33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2"/>
      <c r="B1" s="3"/>
      <c r="C1" s="3"/>
      <c r="D1" s="4"/>
      <c r="E1" s="173" t="s">
        <v>7</v>
      </c>
      <c r="F1" s="174"/>
      <c r="G1" s="174"/>
      <c r="H1" s="174"/>
      <c r="I1" s="174"/>
      <c r="J1" s="174"/>
      <c r="K1" s="175"/>
      <c r="L1" s="173" t="s">
        <v>8</v>
      </c>
      <c r="M1" s="174"/>
      <c r="N1" s="174"/>
      <c r="O1" s="174"/>
      <c r="P1" s="174"/>
      <c r="Q1" s="174"/>
      <c r="R1" s="175"/>
      <c r="S1" s="173" t="s">
        <v>9</v>
      </c>
      <c r="T1" s="174"/>
      <c r="U1" s="174"/>
      <c r="V1" s="174"/>
      <c r="W1" s="174"/>
      <c r="X1" s="174"/>
      <c r="Y1" s="175"/>
      <c r="Z1" s="173" t="s">
        <v>10</v>
      </c>
      <c r="AA1" s="174"/>
      <c r="AB1" s="174"/>
      <c r="AC1" s="174"/>
      <c r="AD1" s="174"/>
      <c r="AE1" s="174"/>
      <c r="AF1" s="175"/>
      <c r="AG1" s="173" t="s">
        <v>11</v>
      </c>
      <c r="AH1" s="174"/>
      <c r="AI1" s="174"/>
      <c r="AJ1" s="174"/>
      <c r="AK1" s="174"/>
      <c r="AL1" s="174"/>
      <c r="AM1" s="175"/>
      <c r="AN1" s="173" t="s">
        <v>12</v>
      </c>
      <c r="AO1" s="174"/>
      <c r="AP1" s="174"/>
      <c r="AQ1" s="174"/>
      <c r="AR1" s="174"/>
      <c r="AS1" s="174"/>
      <c r="AT1" s="175"/>
      <c r="AU1" s="173" t="s">
        <v>13</v>
      </c>
      <c r="AV1" s="174"/>
      <c r="AW1" s="174"/>
      <c r="AX1" s="174"/>
      <c r="AY1" s="174"/>
      <c r="AZ1" s="174"/>
      <c r="BA1" s="175"/>
      <c r="BB1" s="173" t="s">
        <v>14</v>
      </c>
      <c r="BC1" s="174"/>
      <c r="BD1" s="174"/>
      <c r="BE1" s="174"/>
      <c r="BF1" s="174"/>
      <c r="BG1" s="174"/>
      <c r="BH1" s="175"/>
      <c r="BI1" s="173" t="s">
        <v>15</v>
      </c>
      <c r="BJ1" s="174"/>
      <c r="BK1" s="174"/>
      <c r="BL1" s="174"/>
      <c r="BM1" s="174"/>
      <c r="BN1" s="174"/>
      <c r="BO1" s="175"/>
      <c r="BP1" s="173" t="s">
        <v>16</v>
      </c>
      <c r="BQ1" s="174"/>
      <c r="BR1" s="174"/>
      <c r="BS1" s="174"/>
      <c r="BT1" s="174"/>
      <c r="BU1" s="174"/>
      <c r="BV1" s="175"/>
      <c r="BW1" s="173" t="s">
        <v>17</v>
      </c>
      <c r="BX1" s="174"/>
      <c r="BY1" s="174"/>
      <c r="BZ1" s="174"/>
      <c r="CA1" s="174"/>
      <c r="CB1" s="174"/>
      <c r="CC1" s="175"/>
      <c r="CD1" s="173" t="s">
        <v>18</v>
      </c>
      <c r="CE1" s="174"/>
      <c r="CF1" s="174"/>
      <c r="CG1" s="174"/>
      <c r="CH1" s="174"/>
      <c r="CI1" s="174"/>
      <c r="CJ1" s="175"/>
      <c r="CK1" s="173" t="s">
        <v>19</v>
      </c>
      <c r="CL1" s="174"/>
      <c r="CM1" s="174"/>
      <c r="CN1" s="174"/>
      <c r="CO1" s="174"/>
      <c r="CP1" s="174"/>
      <c r="CQ1" s="175"/>
      <c r="CR1" s="173" t="s">
        <v>20</v>
      </c>
      <c r="CS1" s="174"/>
      <c r="CT1" s="174"/>
      <c r="CU1" s="174"/>
      <c r="CV1" s="174"/>
      <c r="CW1" s="174"/>
      <c r="CX1" s="175"/>
      <c r="CY1" s="173" t="s">
        <v>20</v>
      </c>
      <c r="CZ1" s="174"/>
      <c r="DA1" s="174"/>
      <c r="DB1" s="174"/>
      <c r="DC1" s="174"/>
      <c r="DD1" s="174"/>
      <c r="DE1" s="175"/>
      <c r="DF1" s="173" t="s">
        <v>21</v>
      </c>
      <c r="DG1" s="174"/>
      <c r="DH1" s="174"/>
      <c r="DI1" s="174"/>
      <c r="DJ1" s="174"/>
      <c r="DK1" s="174"/>
      <c r="DL1" s="175"/>
      <c r="DM1" s="173" t="s">
        <v>22</v>
      </c>
      <c r="DN1" s="174"/>
      <c r="DO1" s="174"/>
      <c r="DP1" s="174"/>
      <c r="DQ1" s="174"/>
      <c r="DR1" s="174"/>
      <c r="DS1" s="175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76" t="s">
        <v>33</v>
      </c>
      <c r="B4" s="177"/>
      <c r="C4" s="177"/>
      <c r="D4" s="178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79"/>
      <c r="DN4" s="180"/>
      <c r="DO4" s="180"/>
      <c r="DP4" s="180"/>
      <c r="DQ4" s="180"/>
      <c r="DR4" s="180"/>
      <c r="DS4" s="180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96"/>
      <c r="B5" s="97"/>
      <c r="C5" s="97"/>
      <c r="D5" s="98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176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1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28</v>
      </c>
      <c r="EG6" s="50"/>
      <c r="EH6" s="9"/>
    </row>
    <row r="7" spans="1:138" ht="14.25" customHeight="1" x14ac:dyDescent="0.25">
      <c r="A7" s="89" t="s">
        <v>177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1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1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1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1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1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1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1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1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1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1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1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1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1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1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25">
      <c r="A21" s="89" t="s">
        <v>192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1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89" t="s">
        <v>193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 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1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70" t="s">
        <v>194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1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 x14ac:dyDescent="0.25">
      <c r="A24" s="70" t="s">
        <v>196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1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25">
      <c r="A25" s="70" t="s">
        <v>197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/>
      <c r="AA25" s="58"/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1" t="str">
        <f t="shared" si="6"/>
        <v>F11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 x14ac:dyDescent="0.25">
      <c r="A26" s="70" t="s">
        <v>198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2</v>
      </c>
      <c r="W26" s="58">
        <v>2</v>
      </c>
      <c r="X26" s="58">
        <v>2</v>
      </c>
      <c r="Y26" s="58">
        <v>2</v>
      </c>
      <c r="Z26" s="58">
        <v>2</v>
      </c>
      <c r="AA26" s="58">
        <v>2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1" t="str">
        <f t="shared" si="6"/>
        <v>C12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 x14ac:dyDescent="0.25">
      <c r="A27" s="70" t="s">
        <v>213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1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 x14ac:dyDescent="0.25">
      <c r="A28" s="89" t="s">
        <v>215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1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 x14ac:dyDescent="0.25">
      <c r="A29" s="70" t="s">
        <v>218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1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 x14ac:dyDescent="0.25">
      <c r="A30" s="70" t="s">
        <v>222</v>
      </c>
      <c r="B30" s="83" t="str">
        <f t="shared" si="2"/>
        <v>F20</v>
      </c>
      <c r="C30" s="75" t="str">
        <f t="shared" si="0"/>
        <v>SC</v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>
        <v>2</v>
      </c>
      <c r="AA30" s="58">
        <v>2</v>
      </c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1" t="str">
        <f t="shared" si="6"/>
        <v>F20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 x14ac:dyDescent="0.25">
      <c r="A31" s="70" t="s">
        <v>229</v>
      </c>
      <c r="B31" s="83" t="str">
        <f t="shared" si="2"/>
        <v>H12</v>
      </c>
      <c r="C31" s="75" t="str">
        <f t="shared" si="0"/>
        <v>MB</v>
      </c>
      <c r="D31" s="71" t="str">
        <f t="shared" si="1"/>
        <v>Just GUI not coded</v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>
        <v>1</v>
      </c>
      <c r="AC31" s="58">
        <v>1</v>
      </c>
      <c r="AD31" s="58">
        <v>1</v>
      </c>
      <c r="AE31" s="58">
        <v>1</v>
      </c>
      <c r="AF31" s="59">
        <v>1</v>
      </c>
      <c r="AG31" s="57">
        <v>1</v>
      </c>
      <c r="AH31" s="58">
        <v>1</v>
      </c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1" t="str">
        <f t="shared" si="6"/>
        <v>H12</v>
      </c>
      <c r="EC31" s="48">
        <f t="shared" si="3"/>
        <v>1</v>
      </c>
      <c r="ED31" s="48">
        <f t="shared" si="4"/>
        <v>0</v>
      </c>
      <c r="EE31" s="48" t="str">
        <f t="shared" si="5"/>
        <v>In Progress</v>
      </c>
    </row>
    <row r="32" spans="1:135" s="42" customFormat="1" ht="14.25" customHeight="1" x14ac:dyDescent="0.25">
      <c r="A32" s="70" t="s">
        <v>231</v>
      </c>
      <c r="B32" s="83" t="str">
        <f t="shared" si="2"/>
        <v>J01</v>
      </c>
      <c r="C32" s="75" t="str">
        <f t="shared" si="0"/>
        <v>MW</v>
      </c>
      <c r="D32" s="71" t="str">
        <f t="shared" si="1"/>
        <v>Just GUI not coded</v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>
        <v>1</v>
      </c>
      <c r="AC32" s="58">
        <v>1</v>
      </c>
      <c r="AD32" s="58">
        <v>1</v>
      </c>
      <c r="AE32" s="58">
        <v>1</v>
      </c>
      <c r="AF32" s="58">
        <v>1</v>
      </c>
      <c r="AG32" s="58">
        <v>1</v>
      </c>
      <c r="AH32" s="58">
        <v>1</v>
      </c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1" t="str">
        <f t="shared" si="6"/>
        <v>J01</v>
      </c>
      <c r="EC32" s="48">
        <f t="shared" si="3"/>
        <v>1</v>
      </c>
      <c r="ED32" s="48">
        <f t="shared" si="4"/>
        <v>0</v>
      </c>
      <c r="EE32" s="48" t="str">
        <f t="shared" si="5"/>
        <v>In Progress</v>
      </c>
    </row>
    <row r="33" spans="1:135" s="42" customFormat="1" ht="14.25" customHeight="1" x14ac:dyDescent="0.25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1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 x14ac:dyDescent="0.25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1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 x14ac:dyDescent="0.25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1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25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1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2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1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2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1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2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1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1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1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1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1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1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1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1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1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1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1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1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1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1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1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1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1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1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1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1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1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1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1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1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1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1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1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 x14ac:dyDescent="0.25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1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 x14ac:dyDescent="0.25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1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 x14ac:dyDescent="0.25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1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2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1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2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1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1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1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1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1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1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1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1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1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1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1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1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1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1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1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1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1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1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1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1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1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1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1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1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1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1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1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1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 x14ac:dyDescent="0.25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1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 x14ac:dyDescent="0.25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1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 x14ac:dyDescent="0.25">
      <c r="A100" t="s">
        <v>108</v>
      </c>
      <c r="B100" s="42" t="s">
        <v>108</v>
      </c>
      <c r="C100" t="s">
        <v>108</v>
      </c>
      <c r="D100" t="s">
        <v>108</v>
      </c>
      <c r="E100" t="s">
        <v>108</v>
      </c>
      <c r="F100" t="s">
        <v>108</v>
      </c>
      <c r="G100" t="s">
        <v>108</v>
      </c>
      <c r="H100" t="s">
        <v>108</v>
      </c>
      <c r="I100" t="s">
        <v>108</v>
      </c>
      <c r="J100" t="s">
        <v>108</v>
      </c>
      <c r="K100" t="s">
        <v>108</v>
      </c>
      <c r="L100" t="s">
        <v>108</v>
      </c>
      <c r="M100" t="s">
        <v>108</v>
      </c>
      <c r="N100" t="s">
        <v>108</v>
      </c>
      <c r="O100" t="s">
        <v>108</v>
      </c>
      <c r="P100" t="s">
        <v>108</v>
      </c>
      <c r="Q100" t="s">
        <v>108</v>
      </c>
      <c r="R100" t="s">
        <v>108</v>
      </c>
      <c r="S100" t="s">
        <v>108</v>
      </c>
      <c r="T100" t="s">
        <v>108</v>
      </c>
      <c r="U100" t="s">
        <v>108</v>
      </c>
      <c r="V100" t="s">
        <v>108</v>
      </c>
      <c r="W100" t="s">
        <v>108</v>
      </c>
      <c r="X100" t="s">
        <v>108</v>
      </c>
      <c r="Y100" t="s">
        <v>108</v>
      </c>
      <c r="Z100" t="s">
        <v>108</v>
      </c>
      <c r="AA100" t="s">
        <v>108</v>
      </c>
      <c r="AB100" t="s">
        <v>108</v>
      </c>
      <c r="AC100" t="s">
        <v>108</v>
      </c>
      <c r="AD100" t="s">
        <v>108</v>
      </c>
      <c r="AE100" t="s">
        <v>108</v>
      </c>
      <c r="AF100" t="s">
        <v>108</v>
      </c>
      <c r="AG100" t="s">
        <v>108</v>
      </c>
      <c r="AH100" t="s">
        <v>108</v>
      </c>
      <c r="AI100" t="s">
        <v>108</v>
      </c>
      <c r="AJ100" t="s">
        <v>108</v>
      </c>
      <c r="AK100" t="s">
        <v>108</v>
      </c>
      <c r="AL100" t="s">
        <v>108</v>
      </c>
      <c r="AM100" t="s">
        <v>108</v>
      </c>
      <c r="AN100" t="s">
        <v>108</v>
      </c>
      <c r="AO100" t="s">
        <v>108</v>
      </c>
      <c r="AP100" t="s">
        <v>108</v>
      </c>
      <c r="AQ100" t="s">
        <v>108</v>
      </c>
      <c r="AR100" t="s">
        <v>108</v>
      </c>
      <c r="AS100" t="s">
        <v>108</v>
      </c>
      <c r="AT100" t="s">
        <v>108</v>
      </c>
      <c r="AU100" t="s">
        <v>108</v>
      </c>
      <c r="AV100" t="s">
        <v>108</v>
      </c>
      <c r="AW100" t="s">
        <v>108</v>
      </c>
      <c r="AX100" t="s">
        <v>108</v>
      </c>
      <c r="AY100" t="s">
        <v>108</v>
      </c>
      <c r="AZ100" t="s">
        <v>108</v>
      </c>
      <c r="BA100" t="s">
        <v>108</v>
      </c>
      <c r="BB100" t="s">
        <v>108</v>
      </c>
      <c r="BC100" t="s">
        <v>108</v>
      </c>
      <c r="BD100" t="s">
        <v>108</v>
      </c>
      <c r="BE100" t="s">
        <v>108</v>
      </c>
      <c r="BF100" t="s">
        <v>108</v>
      </c>
      <c r="BG100" t="s">
        <v>108</v>
      </c>
      <c r="BH100" t="s">
        <v>108</v>
      </c>
      <c r="BI100" t="s">
        <v>108</v>
      </c>
      <c r="BJ100" t="s">
        <v>108</v>
      </c>
      <c r="BK100" t="s">
        <v>108</v>
      </c>
      <c r="BL100" t="s">
        <v>108</v>
      </c>
      <c r="BM100" t="s">
        <v>108</v>
      </c>
      <c r="BN100" t="s">
        <v>108</v>
      </c>
      <c r="BO100" t="s">
        <v>108</v>
      </c>
      <c r="BP100" t="s">
        <v>108</v>
      </c>
      <c r="BQ100" t="s">
        <v>108</v>
      </c>
      <c r="BR100" t="s">
        <v>108</v>
      </c>
      <c r="BS100" t="s">
        <v>108</v>
      </c>
      <c r="BT100" t="s">
        <v>108</v>
      </c>
      <c r="BU100" t="s">
        <v>108</v>
      </c>
      <c r="BV100" t="s">
        <v>108</v>
      </c>
      <c r="BW100" t="s">
        <v>108</v>
      </c>
      <c r="BX100" t="s">
        <v>108</v>
      </c>
      <c r="BY100" t="s">
        <v>108</v>
      </c>
      <c r="BZ100" t="s">
        <v>108</v>
      </c>
      <c r="CA100" t="s">
        <v>108</v>
      </c>
      <c r="CB100" t="s">
        <v>108</v>
      </c>
      <c r="CC100" s="42" t="s">
        <v>108</v>
      </c>
      <c r="CD100" s="42" t="s">
        <v>108</v>
      </c>
      <c r="CE100" s="42" t="s">
        <v>108</v>
      </c>
      <c r="CF100" s="42" t="s">
        <v>108</v>
      </c>
      <c r="CG100" s="42" t="s">
        <v>108</v>
      </c>
      <c r="CH100" s="42" t="s">
        <v>108</v>
      </c>
      <c r="CI100" s="42" t="s">
        <v>108</v>
      </c>
      <c r="CJ100" s="42" t="s">
        <v>108</v>
      </c>
      <c r="CK100" s="42" t="s">
        <v>108</v>
      </c>
      <c r="CL100" s="42" t="s">
        <v>108</v>
      </c>
      <c r="CM100" s="42" t="s">
        <v>108</v>
      </c>
      <c r="CN100" s="42" t="s">
        <v>108</v>
      </c>
      <c r="CO100" s="42" t="s">
        <v>108</v>
      </c>
      <c r="CP100" s="42" t="s">
        <v>108</v>
      </c>
      <c r="CQ100" s="42" t="s">
        <v>108</v>
      </c>
      <c r="CR100" s="42" t="s">
        <v>108</v>
      </c>
      <c r="CS100" s="42" t="s">
        <v>108</v>
      </c>
      <c r="CT100" s="42" t="s">
        <v>108</v>
      </c>
      <c r="CU100" s="42" t="s">
        <v>108</v>
      </c>
      <c r="CV100" s="42" t="s">
        <v>108</v>
      </c>
      <c r="CW100" s="42" t="s">
        <v>108</v>
      </c>
      <c r="CX100" s="42" t="s">
        <v>108</v>
      </c>
      <c r="CY100" s="42" t="s">
        <v>108</v>
      </c>
      <c r="CZ100" s="42" t="s">
        <v>108</v>
      </c>
      <c r="DA100" s="42" t="s">
        <v>108</v>
      </c>
      <c r="DB100" s="42" t="s">
        <v>108</v>
      </c>
      <c r="DC100" s="42" t="s">
        <v>108</v>
      </c>
      <c r="DD100" s="42" t="s">
        <v>108</v>
      </c>
      <c r="DE100" s="42" t="s">
        <v>108</v>
      </c>
      <c r="DF100" s="42" t="s">
        <v>108</v>
      </c>
      <c r="DG100" s="42" t="s">
        <v>108</v>
      </c>
      <c r="DH100" s="42" t="s">
        <v>108</v>
      </c>
      <c r="DI100" s="42" t="s">
        <v>108</v>
      </c>
      <c r="DJ100" s="42" t="s">
        <v>108</v>
      </c>
      <c r="DK100" s="42" t="s">
        <v>108</v>
      </c>
      <c r="DL100" s="42" t="s">
        <v>108</v>
      </c>
      <c r="DM100" s="42" t="s">
        <v>108</v>
      </c>
      <c r="DN100" s="42" t="s">
        <v>108</v>
      </c>
      <c r="DO100" s="42" t="s">
        <v>108</v>
      </c>
      <c r="DP100" s="42" t="s">
        <v>108</v>
      </c>
      <c r="DQ100" s="42" t="s">
        <v>108</v>
      </c>
      <c r="DR100" s="42" t="s">
        <v>108</v>
      </c>
      <c r="DS100" s="42" t="s">
        <v>108</v>
      </c>
      <c r="DT100" s="42" t="s">
        <v>108</v>
      </c>
      <c r="DU100" s="42" t="s">
        <v>108</v>
      </c>
      <c r="DV100" s="42" t="s">
        <v>108</v>
      </c>
      <c r="DW100" s="42" t="s">
        <v>108</v>
      </c>
      <c r="DX100" s="42" t="s">
        <v>108</v>
      </c>
      <c r="DY100" s="42" t="s">
        <v>108</v>
      </c>
      <c r="DZ100" s="42" t="s">
        <v>108</v>
      </c>
    </row>
    <row r="101" spans="1:135" ht="14.25" customHeight="1" x14ac:dyDescent="0.25"/>
    <row r="102" spans="1:135" ht="14.25" customHeight="1" x14ac:dyDescent="0.25"/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</sheetData>
  <autoFilter ref="A1:DZ100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  <mergeCell ref="A4:D4"/>
    <mergeCell ref="BW1:CC1"/>
    <mergeCell ref="BP1:BV1"/>
  </mergeCells>
  <conditionalFormatting sqref="E6:DZ99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9">
      <formula1>MainTasks</formula1>
    </dataValidation>
    <dataValidation type="decimal" allowBlank="1" showInputMessage="1" showErrorMessage="1" sqref="E6:DZ99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71"/>
  <sheetViews>
    <sheetView tabSelected="1" zoomScale="80" zoomScaleNormal="80" workbookViewId="0">
      <selection activeCell="R2" sqref="R2"/>
    </sheetView>
  </sheetViews>
  <sheetFormatPr defaultColWidth="14.42578125" defaultRowHeight="15" customHeight="1" x14ac:dyDescent="0.25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6" bestFit="1" customWidth="1"/>
    <col min="14" max="14" width="2" style="136" bestFit="1" customWidth="1"/>
    <col min="15" max="18" width="9" style="9" customWidth="1"/>
    <col min="19" max="19" width="9" customWidth="1"/>
  </cols>
  <sheetData>
    <row r="1" spans="1:20" ht="32.450000000000003" customHeight="1" x14ac:dyDescent="0.25">
      <c r="A1" s="122" t="s">
        <v>209</v>
      </c>
      <c r="B1" s="123" t="s">
        <v>30</v>
      </c>
      <c r="C1" s="145" t="s">
        <v>31</v>
      </c>
      <c r="D1" s="124" t="s">
        <v>32</v>
      </c>
      <c r="E1" s="121" t="s">
        <v>54</v>
      </c>
      <c r="F1" s="121" t="s">
        <v>55</v>
      </c>
      <c r="G1" s="121" t="s">
        <v>56</v>
      </c>
      <c r="I1" s="78"/>
      <c r="J1" s="77"/>
      <c r="L1" s="77" t="s">
        <v>107</v>
      </c>
      <c r="M1" s="77"/>
      <c r="N1" s="77"/>
      <c r="O1" s="137" t="s">
        <v>37</v>
      </c>
      <c r="P1" s="137" t="s">
        <v>40</v>
      </c>
      <c r="Q1" s="137" t="s">
        <v>35</v>
      </c>
      <c r="R1" s="137" t="s">
        <v>36</v>
      </c>
      <c r="S1" s="137" t="s">
        <v>210</v>
      </c>
    </row>
    <row r="2" spans="1:20" x14ac:dyDescent="0.25">
      <c r="A2" s="99" t="s">
        <v>119</v>
      </c>
      <c r="B2" s="90" t="s">
        <v>57</v>
      </c>
      <c r="C2" s="47" t="s">
        <v>37</v>
      </c>
      <c r="D2" s="37"/>
      <c r="E2" s="9">
        <f t="shared" ref="E2:E27" si="0">IF(SUM(F2:G2)&gt;0,0,3)</f>
        <v>0</v>
      </c>
      <c r="F2" s="43">
        <v>0</v>
      </c>
      <c r="G2" s="43">
        <v>2</v>
      </c>
      <c r="H2" s="94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7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66" customFormat="1" x14ac:dyDescent="0.25">
      <c r="A3" s="99" t="s">
        <v>118</v>
      </c>
      <c r="B3" s="167" t="s">
        <v>58</v>
      </c>
      <c r="C3" s="36" t="s">
        <v>37</v>
      </c>
      <c r="D3" s="95"/>
      <c r="E3" s="9">
        <f t="shared" si="0"/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 t="str">
        <f t="shared" ref="M3:M4" si="2">C3</f>
        <v>PS</v>
      </c>
      <c r="N3" s="80">
        <f t="shared" ref="N3:N4" si="3">IF(G3=2,2,IF(F3=1,1,3))</f>
        <v>2</v>
      </c>
      <c r="O3" s="9" t="str">
        <f t="shared" ref="O3:O4" si="4"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 s="166" customFormat="1" x14ac:dyDescent="0.25">
      <c r="A4" s="99" t="s">
        <v>120</v>
      </c>
      <c r="B4" s="167" t="s">
        <v>59</v>
      </c>
      <c r="C4" s="36" t="s">
        <v>37</v>
      </c>
      <c r="D4" s="169" t="s">
        <v>111</v>
      </c>
      <c r="E4" s="9">
        <f t="shared" si="0"/>
        <v>0</v>
      </c>
      <c r="F4" s="43">
        <v>0</v>
      </c>
      <c r="G4" s="43">
        <v>2</v>
      </c>
      <c r="I4" s="43"/>
      <c r="J4" s="79"/>
      <c r="L4" s="80" t="str">
        <f>CONCATENATE(A4," ",B4)</f>
        <v>A30 Skills Audit</v>
      </c>
      <c r="M4" s="80" t="str">
        <f t="shared" si="2"/>
        <v>PS</v>
      </c>
      <c r="N4" s="80">
        <f t="shared" si="3"/>
        <v>2</v>
      </c>
      <c r="O4" s="9" t="str">
        <f t="shared" si="4"/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</row>
    <row r="5" spans="1:20" s="135" customFormat="1" x14ac:dyDescent="0.25">
      <c r="A5" s="100" t="s">
        <v>121</v>
      </c>
      <c r="B5" s="147" t="s">
        <v>60</v>
      </c>
      <c r="C5" s="36" t="s">
        <v>37</v>
      </c>
      <c r="D5" s="149"/>
      <c r="E5" s="9">
        <f t="shared" si="0"/>
        <v>0</v>
      </c>
      <c r="F5" s="43">
        <v>0</v>
      </c>
      <c r="G5" s="43">
        <v>2</v>
      </c>
      <c r="I5" s="43"/>
      <c r="J5" s="79"/>
      <c r="L5" s="80" t="str">
        <f>CONCATENATE(A5," ",B5)</f>
        <v>A40 Project Proposal</v>
      </c>
      <c r="M5" s="80" t="str">
        <f>C6</f>
        <v>PS</v>
      </c>
      <c r="N5" s="80">
        <f t="shared" ref="N5:N59" si="5">IF(G5=2,2,IF(F5=1,1,3))</f>
        <v>2</v>
      </c>
      <c r="O5" s="9" t="str">
        <f>IF($M5=O$1,CONCATENATE($M5,$N5),0)</f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</row>
    <row r="6" spans="1:20" x14ac:dyDescent="0.25">
      <c r="A6" s="99" t="s">
        <v>211</v>
      </c>
      <c r="B6" s="45" t="s">
        <v>212</v>
      </c>
      <c r="C6" s="47" t="s">
        <v>37</v>
      </c>
      <c r="D6" s="46"/>
      <c r="E6" s="9">
        <f t="shared" si="0"/>
        <v>0</v>
      </c>
      <c r="F6" s="43">
        <v>0</v>
      </c>
      <c r="G6" s="43">
        <v>2</v>
      </c>
      <c r="I6" s="43"/>
      <c r="J6" s="79"/>
      <c r="L6" s="80" t="str">
        <f t="shared" ref="L6:L37" si="6">CONCATENATE(A9," ",B9)</f>
        <v>A70 Logs of Progress, problems and solutions</v>
      </c>
      <c r="M6" s="80" t="str">
        <f t="shared" ref="M6:M37" si="7">C9</f>
        <v>PS</v>
      </c>
      <c r="N6" s="80">
        <f t="shared" si="5"/>
        <v>2</v>
      </c>
      <c r="O6" s="9" t="str">
        <f t="shared" ref="O6:S34" si="8">IF($M6=O$1,CONCATENATE($M6,$N6),0)</f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  <c r="T6" s="94"/>
    </row>
    <row r="7" spans="1:20" x14ac:dyDescent="0.25">
      <c r="A7" s="100" t="s">
        <v>122</v>
      </c>
      <c r="B7" s="35" t="s">
        <v>61</v>
      </c>
      <c r="C7" s="36" t="s">
        <v>37</v>
      </c>
      <c r="D7" s="37"/>
      <c r="E7" s="9">
        <f t="shared" si="0"/>
        <v>0</v>
      </c>
      <c r="F7" s="43">
        <v>0</v>
      </c>
      <c r="G7" s="43">
        <v>2</v>
      </c>
      <c r="I7" s="43"/>
      <c r="J7" s="79"/>
      <c r="L7" s="80" t="str">
        <f t="shared" si="6"/>
        <v>A80 Records of Communication</v>
      </c>
      <c r="M7" s="80" t="str">
        <f t="shared" si="7"/>
        <v>PS</v>
      </c>
      <c r="N7" s="80">
        <f t="shared" si="5"/>
        <v>2</v>
      </c>
      <c r="O7" s="9" t="str">
        <f t="shared" si="8"/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  <c r="T7" s="94"/>
    </row>
    <row r="8" spans="1:20" ht="30" x14ac:dyDescent="0.25">
      <c r="A8" s="100" t="s">
        <v>123</v>
      </c>
      <c r="B8" s="35" t="s">
        <v>62</v>
      </c>
      <c r="C8" s="36" t="s">
        <v>37</v>
      </c>
      <c r="D8" s="165" t="s">
        <v>223</v>
      </c>
      <c r="E8" s="9">
        <f t="shared" si="0"/>
        <v>0</v>
      </c>
      <c r="F8" s="43">
        <v>1</v>
      </c>
      <c r="G8" s="43">
        <v>0</v>
      </c>
      <c r="I8" s="43"/>
      <c r="J8" s="79"/>
      <c r="L8" s="80" t="str">
        <f t="shared" si="6"/>
        <v xml:space="preserve">B10 Statement of the purpose of the system </v>
      </c>
      <c r="M8" s="80" t="str">
        <f t="shared" si="7"/>
        <v>MB</v>
      </c>
      <c r="N8" s="80">
        <f t="shared" si="5"/>
        <v>1</v>
      </c>
      <c r="O8" s="9">
        <f t="shared" si="8"/>
        <v>0</v>
      </c>
      <c r="P8" s="9">
        <f t="shared" si="1"/>
        <v>0</v>
      </c>
      <c r="Q8" s="9">
        <f t="shared" si="1"/>
        <v>0</v>
      </c>
      <c r="R8" s="9" t="str">
        <f t="shared" si="1"/>
        <v>MB1</v>
      </c>
      <c r="S8" s="9">
        <f t="shared" si="1"/>
        <v>0</v>
      </c>
      <c r="T8" s="94"/>
    </row>
    <row r="9" spans="1:20" x14ac:dyDescent="0.25">
      <c r="A9" s="100" t="s">
        <v>124</v>
      </c>
      <c r="B9" s="35" t="s">
        <v>63</v>
      </c>
      <c r="C9" s="36" t="s">
        <v>37</v>
      </c>
      <c r="D9" s="38" t="s">
        <v>43</v>
      </c>
      <c r="E9" s="9">
        <f t="shared" si="0"/>
        <v>0</v>
      </c>
      <c r="F9" s="43">
        <v>1</v>
      </c>
      <c r="G9" s="43">
        <v>0</v>
      </c>
      <c r="I9" s="43"/>
      <c r="J9" s="79"/>
      <c r="L9" s="80" t="str">
        <f t="shared" si="6"/>
        <v>B20 UML Use Case Diagram v1</v>
      </c>
      <c r="M9" s="80" t="str">
        <f t="shared" si="7"/>
        <v>MB</v>
      </c>
      <c r="N9" s="80">
        <f t="shared" si="5"/>
        <v>1</v>
      </c>
      <c r="O9" s="9">
        <f t="shared" si="8"/>
        <v>0</v>
      </c>
      <c r="P9" s="9">
        <f t="shared" si="1"/>
        <v>0</v>
      </c>
      <c r="Q9" s="9">
        <f t="shared" si="1"/>
        <v>0</v>
      </c>
      <c r="R9" s="9" t="str">
        <f t="shared" si="1"/>
        <v>MB1</v>
      </c>
      <c r="S9" s="9">
        <f t="shared" si="1"/>
        <v>0</v>
      </c>
      <c r="T9" s="94"/>
    </row>
    <row r="10" spans="1:20" x14ac:dyDescent="0.25">
      <c r="A10" s="100" t="s">
        <v>125</v>
      </c>
      <c r="B10" s="35" t="s">
        <v>64</v>
      </c>
      <c r="C10" s="36" t="s">
        <v>37</v>
      </c>
      <c r="D10" s="38" t="s">
        <v>43</v>
      </c>
      <c r="E10" s="9">
        <f t="shared" si="0"/>
        <v>0</v>
      </c>
      <c r="F10" s="43">
        <v>1</v>
      </c>
      <c r="G10" s="43">
        <v>0</v>
      </c>
      <c r="I10" s="43"/>
      <c r="J10" s="79"/>
      <c r="L10" s="80" t="str">
        <f t="shared" si="6"/>
        <v>B21 UML Use Case Diagram v2</v>
      </c>
      <c r="M10" s="80" t="str">
        <f t="shared" si="7"/>
        <v>MB</v>
      </c>
      <c r="N10" s="80">
        <f t="shared" si="5"/>
        <v>1</v>
      </c>
      <c r="O10" s="9">
        <f t="shared" si="8"/>
        <v>0</v>
      </c>
      <c r="P10" s="9">
        <f t="shared" si="1"/>
        <v>0</v>
      </c>
      <c r="Q10" s="9">
        <f t="shared" si="1"/>
        <v>0</v>
      </c>
      <c r="R10" s="9" t="str">
        <f t="shared" si="1"/>
        <v>MB1</v>
      </c>
      <c r="S10" s="9">
        <f t="shared" si="1"/>
        <v>0</v>
      </c>
      <c r="T10" s="94"/>
    </row>
    <row r="11" spans="1:20" x14ac:dyDescent="0.25">
      <c r="A11" s="100" t="s">
        <v>126</v>
      </c>
      <c r="B11" s="44" t="s">
        <v>216</v>
      </c>
      <c r="C11" s="36" t="s">
        <v>36</v>
      </c>
      <c r="D11" s="37"/>
      <c r="E11" s="9">
        <f t="shared" si="0"/>
        <v>0</v>
      </c>
      <c r="F11" s="43">
        <v>0</v>
      </c>
      <c r="G11" s="43">
        <v>2</v>
      </c>
      <c r="I11" s="43"/>
      <c r="J11" s="79"/>
      <c r="L11" s="80" t="str">
        <f t="shared" si="6"/>
        <v>B30 Set of Use Case descriptions V1</v>
      </c>
      <c r="M11" s="80" t="str">
        <f t="shared" si="7"/>
        <v>MB</v>
      </c>
      <c r="N11" s="80">
        <f t="shared" si="5"/>
        <v>2</v>
      </c>
      <c r="O11" s="9">
        <f t="shared" si="8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4"/>
    </row>
    <row r="12" spans="1:20" x14ac:dyDescent="0.25">
      <c r="A12" s="100" t="s">
        <v>127</v>
      </c>
      <c r="B12" s="44" t="s">
        <v>115</v>
      </c>
      <c r="C12" s="36" t="s">
        <v>36</v>
      </c>
      <c r="D12" s="37"/>
      <c r="E12" s="9">
        <f t="shared" si="0"/>
        <v>0</v>
      </c>
      <c r="F12" s="43">
        <v>0</v>
      </c>
      <c r="G12" s="43">
        <v>2</v>
      </c>
      <c r="L12" s="80" t="str">
        <f t="shared" si="6"/>
        <v>B40 MoSCoW Analysis</v>
      </c>
      <c r="M12" s="80" t="str">
        <f t="shared" si="7"/>
        <v>MB</v>
      </c>
      <c r="N12" s="80">
        <f t="shared" si="5"/>
        <v>2</v>
      </c>
      <c r="O12" s="9">
        <f t="shared" si="8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4"/>
    </row>
    <row r="13" spans="1:20" x14ac:dyDescent="0.25">
      <c r="A13" s="100" t="s">
        <v>128</v>
      </c>
      <c r="B13" s="44" t="s">
        <v>116</v>
      </c>
      <c r="C13" s="36" t="s">
        <v>36</v>
      </c>
      <c r="D13" s="37"/>
      <c r="E13" s="9">
        <f t="shared" si="0"/>
        <v>3</v>
      </c>
      <c r="F13" s="43"/>
      <c r="G13" s="43"/>
      <c r="L13" s="80" t="str">
        <f t="shared" si="6"/>
        <v>C10 Class Diagram</v>
      </c>
      <c r="M13" s="80" t="str">
        <f t="shared" si="7"/>
        <v>PS</v>
      </c>
      <c r="N13" s="80">
        <f t="shared" si="5"/>
        <v>3</v>
      </c>
      <c r="O13" s="9" t="str">
        <f t="shared" si="8"/>
        <v>PS3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4"/>
    </row>
    <row r="14" spans="1:20" x14ac:dyDescent="0.25">
      <c r="A14" s="100" t="s">
        <v>129</v>
      </c>
      <c r="B14" s="44" t="s">
        <v>217</v>
      </c>
      <c r="C14" s="36" t="s">
        <v>36</v>
      </c>
      <c r="D14" s="37"/>
      <c r="E14" s="9">
        <f t="shared" si="0"/>
        <v>0</v>
      </c>
      <c r="F14" s="43">
        <v>1</v>
      </c>
      <c r="G14" s="43">
        <v>0</v>
      </c>
      <c r="L14" s="80" t="str">
        <f t="shared" si="6"/>
        <v>C11 Class Diagram 1 - Initial Plans</v>
      </c>
      <c r="M14" s="80" t="str">
        <f t="shared" si="7"/>
        <v>PS</v>
      </c>
      <c r="N14" s="80">
        <f t="shared" si="5"/>
        <v>1</v>
      </c>
      <c r="O14" s="9" t="str">
        <f t="shared" si="8"/>
        <v>PS1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  <c r="T14" s="94"/>
    </row>
    <row r="15" spans="1:20" x14ac:dyDescent="0.25">
      <c r="A15" s="100" t="s">
        <v>130</v>
      </c>
      <c r="B15" s="35" t="s">
        <v>38</v>
      </c>
      <c r="C15" s="36" t="s">
        <v>36</v>
      </c>
      <c r="D15" s="37"/>
      <c r="E15" s="9">
        <f t="shared" si="0"/>
        <v>0</v>
      </c>
      <c r="F15" s="43">
        <v>0</v>
      </c>
      <c r="G15" s="43">
        <v>2</v>
      </c>
      <c r="L15" s="80" t="str">
        <f t="shared" si="6"/>
        <v>C12 Class Diagram 2 - Revised Plans</v>
      </c>
      <c r="M15" s="80" t="str">
        <f t="shared" si="7"/>
        <v>PS</v>
      </c>
      <c r="N15" s="80">
        <f t="shared" si="5"/>
        <v>2</v>
      </c>
      <c r="O15" s="9" t="str">
        <f t="shared" si="8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4"/>
    </row>
    <row r="16" spans="1:20" s="94" customFormat="1" x14ac:dyDescent="0.25">
      <c r="A16" s="100" t="s">
        <v>131</v>
      </c>
      <c r="B16" s="44" t="s">
        <v>101</v>
      </c>
      <c r="C16" s="47" t="s">
        <v>37</v>
      </c>
      <c r="D16" s="37"/>
      <c r="E16" s="9">
        <f t="shared" si="0"/>
        <v>3</v>
      </c>
      <c r="F16" s="43"/>
      <c r="G16" s="43"/>
      <c r="L16" s="80" t="str">
        <f t="shared" si="6"/>
        <v>C13 Class Diagram 3 - Finalised Plans</v>
      </c>
      <c r="M16" s="80" t="str">
        <f t="shared" si="7"/>
        <v>PS</v>
      </c>
      <c r="N16" s="80">
        <f t="shared" si="5"/>
        <v>3</v>
      </c>
      <c r="O16" s="9" t="str">
        <f t="shared" si="8"/>
        <v>PS3</v>
      </c>
      <c r="P16" s="9">
        <f t="shared" si="1"/>
        <v>0</v>
      </c>
      <c r="Q16" s="9">
        <f t="shared" si="1"/>
        <v>0</v>
      </c>
      <c r="R16" s="9">
        <f t="shared" si="1"/>
        <v>0</v>
      </c>
      <c r="S16" s="9">
        <f t="shared" si="1"/>
        <v>0</v>
      </c>
    </row>
    <row r="17" spans="1:20" x14ac:dyDescent="0.25">
      <c r="A17" s="100" t="s">
        <v>132</v>
      </c>
      <c r="B17" s="45" t="s">
        <v>98</v>
      </c>
      <c r="C17" s="36" t="s">
        <v>37</v>
      </c>
      <c r="D17" s="46"/>
      <c r="E17" s="9">
        <f t="shared" si="0"/>
        <v>0</v>
      </c>
      <c r="F17" s="43">
        <v>0</v>
      </c>
      <c r="G17" s="43">
        <v>2</v>
      </c>
      <c r="L17" s="80" t="str">
        <f t="shared" si="6"/>
        <v>C20 State machine diagrams</v>
      </c>
      <c r="M17" s="80" t="str">
        <f t="shared" si="7"/>
        <v>PS</v>
      </c>
      <c r="N17" s="80">
        <f t="shared" si="5"/>
        <v>2</v>
      </c>
      <c r="O17" s="9" t="str">
        <f t="shared" si="8"/>
        <v>PS2</v>
      </c>
      <c r="P17" s="9">
        <f t="shared" si="1"/>
        <v>0</v>
      </c>
      <c r="Q17" s="9">
        <f t="shared" si="1"/>
        <v>0</v>
      </c>
      <c r="R17" s="9">
        <f t="shared" si="1"/>
        <v>0</v>
      </c>
      <c r="S17" s="9">
        <f t="shared" si="1"/>
        <v>0</v>
      </c>
      <c r="T17" s="94"/>
    </row>
    <row r="18" spans="1:20" s="92" customFormat="1" x14ac:dyDescent="0.25">
      <c r="A18" s="100" t="s">
        <v>133</v>
      </c>
      <c r="B18" s="44" t="s">
        <v>100</v>
      </c>
      <c r="C18" s="47" t="s">
        <v>37</v>
      </c>
      <c r="D18" s="37"/>
      <c r="E18" s="9">
        <f t="shared" si="0"/>
        <v>0</v>
      </c>
      <c r="F18" s="43">
        <v>0</v>
      </c>
      <c r="G18" s="43">
        <v>2</v>
      </c>
      <c r="L18" s="80" t="str">
        <f t="shared" si="6"/>
        <v>C21 Sequence diagrams and/or activity diagrams</v>
      </c>
      <c r="M18" s="80" t="str">
        <f t="shared" si="7"/>
        <v>PS</v>
      </c>
      <c r="N18" s="80">
        <f t="shared" si="5"/>
        <v>2</v>
      </c>
      <c r="O18" s="9" t="str">
        <f t="shared" si="8"/>
        <v>PS2</v>
      </c>
      <c r="P18" s="9">
        <f t="shared" si="8"/>
        <v>0</v>
      </c>
      <c r="Q18" s="9">
        <f t="shared" si="8"/>
        <v>0</v>
      </c>
      <c r="R18" s="9">
        <f t="shared" si="8"/>
        <v>0</v>
      </c>
      <c r="S18" s="9">
        <f t="shared" si="8"/>
        <v>0</v>
      </c>
      <c r="T18" s="94"/>
    </row>
    <row r="19" spans="1:20" x14ac:dyDescent="0.25">
      <c r="A19" s="100" t="s">
        <v>134</v>
      </c>
      <c r="B19" s="45" t="s">
        <v>99</v>
      </c>
      <c r="C19" s="47" t="s">
        <v>37</v>
      </c>
      <c r="D19" s="46"/>
      <c r="E19" s="9">
        <f t="shared" si="0"/>
        <v>3</v>
      </c>
      <c r="F19" s="43"/>
      <c r="G19" s="43"/>
      <c r="L19" s="80" t="str">
        <f t="shared" si="6"/>
        <v>D10 Process for testing and reporting on testing (draft)</v>
      </c>
      <c r="M19" s="80" t="str">
        <f t="shared" si="7"/>
        <v>GROUP</v>
      </c>
      <c r="N19" s="80">
        <f t="shared" si="5"/>
        <v>3</v>
      </c>
      <c r="O19" s="9">
        <f t="shared" si="8"/>
        <v>0</v>
      </c>
      <c r="P19" s="9">
        <f t="shared" si="8"/>
        <v>0</v>
      </c>
      <c r="Q19" s="9">
        <f t="shared" si="8"/>
        <v>0</v>
      </c>
      <c r="R19" s="9">
        <f t="shared" si="8"/>
        <v>0</v>
      </c>
      <c r="S19" s="9" t="str">
        <f t="shared" si="8"/>
        <v>GROUP3</v>
      </c>
      <c r="T19" s="94"/>
    </row>
    <row r="20" spans="1:20" x14ac:dyDescent="0.25">
      <c r="A20" s="100" t="s">
        <v>135</v>
      </c>
      <c r="B20" s="45" t="s">
        <v>68</v>
      </c>
      <c r="C20" s="36" t="s">
        <v>37</v>
      </c>
      <c r="D20" s="46"/>
      <c r="E20" s="9">
        <f t="shared" si="0"/>
        <v>3</v>
      </c>
      <c r="F20" s="43"/>
      <c r="G20" s="43"/>
      <c r="L20" s="80" t="str">
        <f t="shared" si="6"/>
        <v>D11 Process for testing and reporting on testing</v>
      </c>
      <c r="M20" s="80" t="str">
        <f t="shared" si="7"/>
        <v>MW</v>
      </c>
      <c r="N20" s="80">
        <f t="shared" si="5"/>
        <v>3</v>
      </c>
      <c r="O20" s="9">
        <f t="shared" si="8"/>
        <v>0</v>
      </c>
      <c r="P20" s="9">
        <f t="shared" si="8"/>
        <v>0</v>
      </c>
      <c r="Q20" s="9" t="str">
        <f t="shared" si="8"/>
        <v>MW3</v>
      </c>
      <c r="R20" s="9">
        <f t="shared" si="8"/>
        <v>0</v>
      </c>
      <c r="S20" s="9">
        <f t="shared" si="8"/>
        <v>0</v>
      </c>
      <c r="T20" s="94"/>
    </row>
    <row r="21" spans="1:20" x14ac:dyDescent="0.25">
      <c r="A21" s="100" t="s">
        <v>136</v>
      </c>
      <c r="B21" s="45" t="s">
        <v>69</v>
      </c>
      <c r="C21" s="36" t="s">
        <v>37</v>
      </c>
      <c r="D21" s="46"/>
      <c r="E21" s="9">
        <f t="shared" si="0"/>
        <v>3</v>
      </c>
      <c r="F21" s="43"/>
      <c r="G21" s="43"/>
      <c r="L21" s="80" t="str">
        <f t="shared" si="6"/>
        <v>D20 A full record of all testing</v>
      </c>
      <c r="M21" s="80" t="str">
        <f t="shared" si="7"/>
        <v>GROUP</v>
      </c>
      <c r="N21" s="80">
        <f t="shared" si="5"/>
        <v>3</v>
      </c>
      <c r="O21" s="9">
        <f t="shared" si="8"/>
        <v>0</v>
      </c>
      <c r="P21" s="9">
        <f t="shared" si="8"/>
        <v>0</v>
      </c>
      <c r="Q21" s="9">
        <f t="shared" si="8"/>
        <v>0</v>
      </c>
      <c r="R21" s="9">
        <f t="shared" si="8"/>
        <v>0</v>
      </c>
      <c r="S21" s="9" t="str">
        <f t="shared" si="8"/>
        <v>GROUP3</v>
      </c>
      <c r="T21" s="94"/>
    </row>
    <row r="22" spans="1:20" x14ac:dyDescent="0.25">
      <c r="A22" s="100" t="s">
        <v>137</v>
      </c>
      <c r="B22" s="45" t="s">
        <v>186</v>
      </c>
      <c r="C22" s="47" t="s">
        <v>47</v>
      </c>
      <c r="D22" s="46"/>
      <c r="E22" s="9">
        <f t="shared" si="0"/>
        <v>0</v>
      </c>
      <c r="F22" s="43">
        <v>0</v>
      </c>
      <c r="G22" s="43">
        <v>2</v>
      </c>
      <c r="L22" s="80" t="str">
        <f t="shared" si="6"/>
        <v>E10 Functionality to allow appropriate user to add new regular one-off tasks</v>
      </c>
      <c r="M22" s="80" t="str">
        <f t="shared" si="7"/>
        <v>SC</v>
      </c>
      <c r="N22" s="80">
        <f t="shared" si="5"/>
        <v>2</v>
      </c>
      <c r="O22" s="9">
        <f t="shared" si="8"/>
        <v>0</v>
      </c>
      <c r="P22" s="9" t="str">
        <f t="shared" si="8"/>
        <v>SC2</v>
      </c>
      <c r="Q22" s="9">
        <f t="shared" si="8"/>
        <v>0</v>
      </c>
      <c r="R22" s="9">
        <f t="shared" si="8"/>
        <v>0</v>
      </c>
      <c r="S22" s="9">
        <f t="shared" si="8"/>
        <v>0</v>
      </c>
      <c r="T22" s="94"/>
    </row>
    <row r="23" spans="1:20" s="48" customFormat="1" x14ac:dyDescent="0.25">
      <c r="A23" s="100" t="s">
        <v>138</v>
      </c>
      <c r="B23" s="44" t="s">
        <v>70</v>
      </c>
      <c r="C23" s="47" t="s">
        <v>35</v>
      </c>
      <c r="D23" s="37"/>
      <c r="E23" s="9">
        <f t="shared" si="0"/>
        <v>3</v>
      </c>
      <c r="F23" s="43"/>
      <c r="G23" s="43"/>
      <c r="L23" s="80" t="str">
        <f t="shared" si="6"/>
        <v>E11 Task Allocation UI draft</v>
      </c>
      <c r="M23" s="80" t="str">
        <f t="shared" si="7"/>
        <v>SC</v>
      </c>
      <c r="N23" s="80">
        <f t="shared" si="5"/>
        <v>3</v>
      </c>
      <c r="O23" s="9">
        <f t="shared" si="8"/>
        <v>0</v>
      </c>
      <c r="P23" s="9" t="str">
        <f t="shared" si="8"/>
        <v>SC3</v>
      </c>
      <c r="Q23" s="9">
        <f t="shared" si="8"/>
        <v>0</v>
      </c>
      <c r="R23" s="9">
        <f t="shared" si="8"/>
        <v>0</v>
      </c>
      <c r="S23" s="9">
        <f t="shared" si="8"/>
        <v>0</v>
      </c>
      <c r="T23" s="94"/>
    </row>
    <row r="24" spans="1:20" x14ac:dyDescent="0.25">
      <c r="A24" s="100" t="s">
        <v>139</v>
      </c>
      <c r="B24" s="44" t="s">
        <v>71</v>
      </c>
      <c r="C24" s="36" t="s">
        <v>47</v>
      </c>
      <c r="D24" s="37"/>
      <c r="E24" s="9">
        <f t="shared" si="0"/>
        <v>3</v>
      </c>
      <c r="F24" s="43"/>
      <c r="G24" s="43"/>
      <c r="L24" s="80" t="str">
        <f t="shared" si="6"/>
        <v>E20 Functionality to allow appropriate user to add relevant information about tasks</v>
      </c>
      <c r="M24" s="80" t="str">
        <f t="shared" si="7"/>
        <v>SC</v>
      </c>
      <c r="N24" s="80">
        <f t="shared" si="5"/>
        <v>3</v>
      </c>
      <c r="O24" s="9">
        <f t="shared" si="8"/>
        <v>0</v>
      </c>
      <c r="P24" s="9" t="str">
        <f t="shared" si="8"/>
        <v>SC3</v>
      </c>
      <c r="Q24" s="9">
        <f t="shared" si="8"/>
        <v>0</v>
      </c>
      <c r="R24" s="9">
        <f t="shared" si="8"/>
        <v>0</v>
      </c>
      <c r="S24" s="9">
        <f t="shared" si="8"/>
        <v>0</v>
      </c>
      <c r="T24" s="94"/>
    </row>
    <row r="25" spans="1:20" ht="30" x14ac:dyDescent="0.25">
      <c r="A25" s="100" t="s">
        <v>140</v>
      </c>
      <c r="B25" s="44" t="s">
        <v>72</v>
      </c>
      <c r="C25" s="36" t="s">
        <v>40</v>
      </c>
      <c r="D25" s="37"/>
      <c r="E25" s="9">
        <f t="shared" si="0"/>
        <v>3</v>
      </c>
      <c r="F25" s="43"/>
      <c r="G25" s="43"/>
      <c r="L25" s="80" t="str">
        <f t="shared" si="6"/>
        <v>E30 Safeguards against common errors</v>
      </c>
      <c r="M25" s="80" t="str">
        <f t="shared" si="7"/>
        <v>SC</v>
      </c>
      <c r="N25" s="80">
        <f t="shared" si="5"/>
        <v>3</v>
      </c>
      <c r="O25" s="9">
        <f t="shared" si="8"/>
        <v>0</v>
      </c>
      <c r="P25" s="9" t="str">
        <f t="shared" si="8"/>
        <v>SC3</v>
      </c>
      <c r="Q25" s="9">
        <f t="shared" si="8"/>
        <v>0</v>
      </c>
      <c r="R25" s="9">
        <f t="shared" si="8"/>
        <v>0</v>
      </c>
      <c r="S25" s="9">
        <f t="shared" si="8"/>
        <v>0</v>
      </c>
    </row>
    <row r="26" spans="1:20" x14ac:dyDescent="0.25">
      <c r="A26" s="100" t="s">
        <v>141</v>
      </c>
      <c r="B26" s="44" t="s">
        <v>117</v>
      </c>
      <c r="C26" s="47" t="s">
        <v>40</v>
      </c>
      <c r="D26" s="46"/>
      <c r="E26" s="9">
        <f t="shared" si="0"/>
        <v>0</v>
      </c>
      <c r="F26" s="43">
        <v>1</v>
      </c>
      <c r="G26" s="43">
        <v>0</v>
      </c>
      <c r="L26" s="80" t="str">
        <f t="shared" si="6"/>
        <v>E40 Functionality to present a sortable list of existing tasks</v>
      </c>
      <c r="M26" s="80" t="str">
        <f t="shared" si="7"/>
        <v>SC</v>
      </c>
      <c r="N26" s="80">
        <f t="shared" si="5"/>
        <v>1</v>
      </c>
      <c r="O26" s="9">
        <f t="shared" si="8"/>
        <v>0</v>
      </c>
      <c r="P26" s="9" t="str">
        <f t="shared" si="8"/>
        <v>SC1</v>
      </c>
      <c r="Q26" s="9">
        <f t="shared" si="8"/>
        <v>0</v>
      </c>
      <c r="R26" s="9">
        <f t="shared" si="8"/>
        <v>0</v>
      </c>
      <c r="S26" s="9">
        <f t="shared" si="8"/>
        <v>0</v>
      </c>
    </row>
    <row r="27" spans="1:20" ht="30" x14ac:dyDescent="0.25">
      <c r="A27" s="100" t="s">
        <v>142</v>
      </c>
      <c r="B27" s="44" t="s">
        <v>73</v>
      </c>
      <c r="C27" s="36" t="s">
        <v>40</v>
      </c>
      <c r="D27" s="37"/>
      <c r="E27" s="9">
        <f t="shared" si="0"/>
        <v>3</v>
      </c>
      <c r="F27" s="43"/>
      <c r="G27" s="43"/>
      <c r="L27" s="80" t="str">
        <f t="shared" si="6"/>
        <v>E50 Functionality to allow the user to select and edit task information</v>
      </c>
      <c r="M27" s="80" t="str">
        <f t="shared" si="7"/>
        <v>SC</v>
      </c>
      <c r="N27" s="80">
        <f t="shared" si="5"/>
        <v>3</v>
      </c>
      <c r="O27" s="9">
        <f t="shared" si="8"/>
        <v>0</v>
      </c>
      <c r="P27" s="9" t="str">
        <f t="shared" si="8"/>
        <v>SC3</v>
      </c>
      <c r="Q27" s="9">
        <f t="shared" si="8"/>
        <v>0</v>
      </c>
      <c r="R27" s="9">
        <f t="shared" si="8"/>
        <v>0</v>
      </c>
      <c r="S27" s="9">
        <f t="shared" si="8"/>
        <v>0</v>
      </c>
    </row>
    <row r="28" spans="1:20" x14ac:dyDescent="0.25">
      <c r="A28" s="100" t="s">
        <v>143</v>
      </c>
      <c r="B28" s="44" t="s">
        <v>74</v>
      </c>
      <c r="C28" s="36" t="s">
        <v>40</v>
      </c>
      <c r="D28" s="37"/>
      <c r="F28" s="43"/>
      <c r="G28" s="43"/>
      <c r="L28" s="80" t="str">
        <f t="shared" si="6"/>
        <v>E60 UI Design (Flow Chart Draft)</v>
      </c>
      <c r="M28" s="80" t="str">
        <f t="shared" si="7"/>
        <v>SC</v>
      </c>
      <c r="N28" s="80">
        <f t="shared" si="5"/>
        <v>3</v>
      </c>
      <c r="O28" s="9">
        <f t="shared" si="8"/>
        <v>0</v>
      </c>
      <c r="P28" s="9" t="str">
        <f t="shared" si="8"/>
        <v>SC3</v>
      </c>
      <c r="Q28" s="9">
        <f t="shared" si="8"/>
        <v>0</v>
      </c>
      <c r="R28" s="9">
        <f t="shared" si="8"/>
        <v>0</v>
      </c>
      <c r="S28" s="9">
        <f t="shared" si="8"/>
        <v>0</v>
      </c>
    </row>
    <row r="29" spans="1:20" ht="30" x14ac:dyDescent="0.25">
      <c r="A29" s="100" t="s">
        <v>144</v>
      </c>
      <c r="B29" s="44" t="s">
        <v>75</v>
      </c>
      <c r="C29" s="36" t="s">
        <v>40</v>
      </c>
      <c r="D29" s="37"/>
      <c r="E29" s="9">
        <f t="shared" ref="E29:E58" si="9">IF(SUM(F29:G29)&gt;0,0,3)</f>
        <v>3</v>
      </c>
      <c r="F29" s="43"/>
      <c r="G29" s="43"/>
      <c r="L29" s="80" t="str">
        <f t="shared" si="6"/>
        <v>F10 Documentation of the data model - ERD draft</v>
      </c>
      <c r="M29" s="80" t="str">
        <f t="shared" si="7"/>
        <v>SC</v>
      </c>
      <c r="N29" s="80">
        <f t="shared" si="5"/>
        <v>3</v>
      </c>
      <c r="O29" s="9">
        <f t="shared" si="8"/>
        <v>0</v>
      </c>
      <c r="P29" s="9" t="str">
        <f t="shared" si="8"/>
        <v>SC3</v>
      </c>
      <c r="Q29" s="9">
        <f t="shared" si="8"/>
        <v>0</v>
      </c>
      <c r="R29" s="9">
        <f t="shared" si="8"/>
        <v>0</v>
      </c>
      <c r="S29" s="9">
        <f t="shared" si="8"/>
        <v>0</v>
      </c>
    </row>
    <row r="30" spans="1:20" s="93" customFormat="1" ht="30" x14ac:dyDescent="0.25">
      <c r="A30" s="100" t="s">
        <v>145</v>
      </c>
      <c r="B30" s="44" t="s">
        <v>76</v>
      </c>
      <c r="C30" s="36" t="s">
        <v>40</v>
      </c>
      <c r="D30" s="37"/>
      <c r="E30" s="9">
        <f t="shared" si="9"/>
        <v>3</v>
      </c>
      <c r="F30" s="43"/>
      <c r="G30" s="43"/>
      <c r="L30" s="80" t="str">
        <f t="shared" si="6"/>
        <v>F11 Documentation of the data model - ERD draft V2</v>
      </c>
      <c r="M30" s="80" t="str">
        <f t="shared" si="7"/>
        <v>SC</v>
      </c>
      <c r="N30" s="80">
        <f t="shared" si="5"/>
        <v>3</v>
      </c>
      <c r="O30" s="9">
        <f t="shared" si="8"/>
        <v>0</v>
      </c>
      <c r="P30" s="9" t="str">
        <f t="shared" si="8"/>
        <v>SC3</v>
      </c>
      <c r="Q30" s="9">
        <f t="shared" si="8"/>
        <v>0</v>
      </c>
      <c r="R30" s="9">
        <f t="shared" si="8"/>
        <v>0</v>
      </c>
      <c r="S30" s="9">
        <f t="shared" si="8"/>
        <v>0</v>
      </c>
    </row>
    <row r="31" spans="1:20" x14ac:dyDescent="0.25">
      <c r="A31" s="100" t="s">
        <v>146</v>
      </c>
      <c r="B31" s="44" t="s">
        <v>110</v>
      </c>
      <c r="C31" s="47" t="s">
        <v>40</v>
      </c>
      <c r="D31" s="37"/>
      <c r="E31" s="9">
        <f t="shared" si="9"/>
        <v>3</v>
      </c>
      <c r="F31" s="43"/>
      <c r="G31" s="43"/>
      <c r="L31" s="80" t="str">
        <f t="shared" si="6"/>
        <v>F12 Documentation of the data model - ERD complete</v>
      </c>
      <c r="M31" s="80" t="str">
        <f t="shared" si="7"/>
        <v>SC</v>
      </c>
      <c r="N31" s="80">
        <f t="shared" si="5"/>
        <v>3</v>
      </c>
      <c r="O31" s="9">
        <f t="shared" si="8"/>
        <v>0</v>
      </c>
      <c r="P31" s="9" t="str">
        <f t="shared" si="8"/>
        <v>SC3</v>
      </c>
      <c r="Q31" s="9">
        <f t="shared" si="8"/>
        <v>0</v>
      </c>
      <c r="R31" s="9">
        <f t="shared" si="8"/>
        <v>0</v>
      </c>
      <c r="S31" s="9">
        <f t="shared" si="8"/>
        <v>0</v>
      </c>
    </row>
    <row r="32" spans="1:20" s="94" customFormat="1" x14ac:dyDescent="0.25">
      <c r="A32" s="100" t="s">
        <v>147</v>
      </c>
      <c r="B32" s="44" t="s">
        <v>105</v>
      </c>
      <c r="C32" s="36" t="s">
        <v>40</v>
      </c>
      <c r="D32" s="170"/>
      <c r="E32" s="9">
        <f t="shared" si="9"/>
        <v>0</v>
      </c>
      <c r="F32" s="43">
        <v>0</v>
      </c>
      <c r="G32" s="43">
        <v>2</v>
      </c>
      <c r="I32" s="43"/>
      <c r="J32" s="79"/>
      <c r="L32" s="80" t="str">
        <f t="shared" si="6"/>
        <v>F20 Database tables (V1)</v>
      </c>
      <c r="M32" s="80" t="str">
        <f t="shared" si="7"/>
        <v>SC</v>
      </c>
      <c r="N32" s="80">
        <f t="shared" si="5"/>
        <v>2</v>
      </c>
      <c r="O32" s="9">
        <f t="shared" si="8"/>
        <v>0</v>
      </c>
      <c r="P32" s="9" t="str">
        <f t="shared" si="8"/>
        <v>SC2</v>
      </c>
      <c r="Q32" s="9">
        <f t="shared" si="8"/>
        <v>0</v>
      </c>
      <c r="R32" s="9">
        <f t="shared" si="8"/>
        <v>0</v>
      </c>
      <c r="S32" s="9">
        <f t="shared" si="8"/>
        <v>0</v>
      </c>
    </row>
    <row r="33" spans="1:19" x14ac:dyDescent="0.25">
      <c r="A33" s="100" t="s">
        <v>148</v>
      </c>
      <c r="B33" s="45" t="s">
        <v>113</v>
      </c>
      <c r="C33" s="36" t="s">
        <v>40</v>
      </c>
      <c r="D33" s="168" t="s">
        <v>114</v>
      </c>
      <c r="E33" s="9">
        <f t="shared" si="9"/>
        <v>0</v>
      </c>
      <c r="F33" s="43">
        <v>0</v>
      </c>
      <c r="G33" s="43">
        <v>2</v>
      </c>
      <c r="L33" s="80" t="str">
        <f t="shared" si="6"/>
        <v>F21 Method for persistent storage of data</v>
      </c>
      <c r="M33" s="80" t="str">
        <f t="shared" si="7"/>
        <v>SC</v>
      </c>
      <c r="N33" s="80">
        <f t="shared" si="5"/>
        <v>2</v>
      </c>
      <c r="O33" s="9">
        <f t="shared" si="8"/>
        <v>0</v>
      </c>
      <c r="P33" s="9" t="str">
        <f t="shared" si="8"/>
        <v>SC2</v>
      </c>
      <c r="Q33" s="9">
        <f t="shared" si="8"/>
        <v>0</v>
      </c>
      <c r="R33" s="9">
        <f t="shared" si="8"/>
        <v>0</v>
      </c>
      <c r="S33" s="9">
        <f t="shared" si="8"/>
        <v>0</v>
      </c>
    </row>
    <row r="34" spans="1:19" x14ac:dyDescent="0.25">
      <c r="A34" s="100" t="s">
        <v>149</v>
      </c>
      <c r="B34" s="44" t="s">
        <v>106</v>
      </c>
      <c r="C34" s="47" t="s">
        <v>40</v>
      </c>
      <c r="D34" s="171"/>
      <c r="E34" s="9">
        <f t="shared" si="9"/>
        <v>3</v>
      </c>
      <c r="F34" s="43"/>
      <c r="G34" s="43"/>
      <c r="L34" s="80" t="str">
        <f t="shared" si="6"/>
        <v>F30 Appropriate methods that allow other components to query and update the data</v>
      </c>
      <c r="M34" s="80" t="str">
        <f t="shared" si="7"/>
        <v>SC</v>
      </c>
      <c r="N34" s="80">
        <f t="shared" si="5"/>
        <v>3</v>
      </c>
      <c r="O34" s="9">
        <f t="shared" si="8"/>
        <v>0</v>
      </c>
      <c r="P34" s="9" t="str">
        <f t="shared" si="8"/>
        <v>SC3</v>
      </c>
      <c r="Q34" s="9">
        <f t="shared" si="8"/>
        <v>0</v>
      </c>
      <c r="R34" s="9">
        <f t="shared" si="8"/>
        <v>0</v>
      </c>
      <c r="S34" s="9">
        <f t="shared" si="8"/>
        <v>0</v>
      </c>
    </row>
    <row r="35" spans="1:19" s="42" customFormat="1" x14ac:dyDescent="0.25">
      <c r="A35" s="100" t="s">
        <v>150</v>
      </c>
      <c r="B35" s="45" t="s">
        <v>221</v>
      </c>
      <c r="C35" s="47" t="s">
        <v>40</v>
      </c>
      <c r="D35" s="46"/>
      <c r="E35" s="9">
        <f t="shared" si="9"/>
        <v>0</v>
      </c>
      <c r="F35" s="43">
        <v>0</v>
      </c>
      <c r="G35" s="43">
        <v>2</v>
      </c>
      <c r="L35" s="80" t="str">
        <f t="shared" si="6"/>
        <v xml:space="preserve">F40 Write database class </v>
      </c>
      <c r="M35" s="80" t="str">
        <f t="shared" si="7"/>
        <v>SC</v>
      </c>
      <c r="N35" s="80">
        <f t="shared" si="5"/>
        <v>2</v>
      </c>
      <c r="O35" s="9">
        <f t="shared" ref="O35:S59" si="10">IF($M35=O$1,CONCATENATE($M35,$N35),0)</f>
        <v>0</v>
      </c>
      <c r="P35" s="9" t="str">
        <f t="shared" si="10"/>
        <v>SC2</v>
      </c>
      <c r="Q35" s="9">
        <f t="shared" si="10"/>
        <v>0</v>
      </c>
      <c r="R35" s="9">
        <f t="shared" si="10"/>
        <v>0</v>
      </c>
      <c r="S35" s="9">
        <f t="shared" si="10"/>
        <v>0</v>
      </c>
    </row>
    <row r="36" spans="1:19" s="42" customFormat="1" x14ac:dyDescent="0.25">
      <c r="A36" s="100" t="s">
        <v>151</v>
      </c>
      <c r="B36" s="45" t="s">
        <v>78</v>
      </c>
      <c r="C36" s="36" t="s">
        <v>40</v>
      </c>
      <c r="D36" s="46"/>
      <c r="E36" s="9">
        <f t="shared" si="9"/>
        <v>3</v>
      </c>
      <c r="F36" s="43"/>
      <c r="G36" s="43"/>
      <c r="L36" s="80" t="str">
        <f t="shared" si="6"/>
        <v>G10 Plan for Task 7</v>
      </c>
      <c r="M36" s="80" t="str">
        <f t="shared" si="7"/>
        <v>MW</v>
      </c>
      <c r="N36" s="80">
        <f t="shared" si="5"/>
        <v>3</v>
      </c>
      <c r="O36" s="9">
        <f t="shared" si="10"/>
        <v>0</v>
      </c>
      <c r="P36" s="9">
        <f t="shared" si="10"/>
        <v>0</v>
      </c>
      <c r="Q36" s="9" t="str">
        <f t="shared" si="10"/>
        <v>MW3</v>
      </c>
      <c r="R36" s="9">
        <f t="shared" si="10"/>
        <v>0</v>
      </c>
      <c r="S36" s="9">
        <f t="shared" si="10"/>
        <v>0</v>
      </c>
    </row>
    <row r="37" spans="1:19" s="92" customFormat="1" ht="30" x14ac:dyDescent="0.25">
      <c r="A37" s="100" t="s">
        <v>152</v>
      </c>
      <c r="B37" s="45" t="s">
        <v>79</v>
      </c>
      <c r="C37" s="36" t="s">
        <v>40</v>
      </c>
      <c r="D37" s="46"/>
      <c r="E37" s="9">
        <f t="shared" si="9"/>
        <v>3</v>
      </c>
      <c r="F37" s="43"/>
      <c r="G37" s="43"/>
      <c r="L37" s="80" t="str">
        <f t="shared" si="6"/>
        <v>G11 Functionality to allow to assign tasks to staff</v>
      </c>
      <c r="M37" s="80" t="str">
        <f t="shared" si="7"/>
        <v>MW</v>
      </c>
      <c r="N37" s="80">
        <f t="shared" si="5"/>
        <v>3</v>
      </c>
      <c r="O37" s="9">
        <f t="shared" si="10"/>
        <v>0</v>
      </c>
      <c r="P37" s="9">
        <f t="shared" si="10"/>
        <v>0</v>
      </c>
      <c r="Q37" s="9" t="str">
        <f t="shared" si="10"/>
        <v>MW3</v>
      </c>
      <c r="R37" s="9">
        <f t="shared" si="10"/>
        <v>0</v>
      </c>
      <c r="S37" s="9">
        <f t="shared" si="10"/>
        <v>0</v>
      </c>
    </row>
    <row r="38" spans="1:19" x14ac:dyDescent="0.25">
      <c r="A38" s="100" t="s">
        <v>153</v>
      </c>
      <c r="B38" s="44" t="s">
        <v>112</v>
      </c>
      <c r="C38" s="36" t="s">
        <v>40</v>
      </c>
      <c r="D38" s="37"/>
      <c r="E38" s="9">
        <f t="shared" si="9"/>
        <v>3</v>
      </c>
      <c r="F38" s="43"/>
      <c r="G38" s="43"/>
      <c r="L38" s="80" t="str">
        <f t="shared" ref="L38:L59" si="11">CONCATENATE(A41," ",B41)</f>
        <v>G20 Functionality to provide a clear statement of daily tasks to staff</v>
      </c>
      <c r="M38" s="80" t="str">
        <f t="shared" ref="M38:M59" si="12">C41</f>
        <v>MW</v>
      </c>
      <c r="N38" s="80">
        <f t="shared" si="5"/>
        <v>3</v>
      </c>
      <c r="O38" s="9">
        <f t="shared" si="10"/>
        <v>0</v>
      </c>
      <c r="P38" s="9">
        <f t="shared" si="10"/>
        <v>0</v>
      </c>
      <c r="Q38" s="9" t="str">
        <f t="shared" si="10"/>
        <v>MW3</v>
      </c>
      <c r="R38" s="9">
        <f t="shared" si="10"/>
        <v>0</v>
      </c>
      <c r="S38" s="9">
        <f t="shared" si="10"/>
        <v>0</v>
      </c>
    </row>
    <row r="39" spans="1:19" s="92" customFormat="1" x14ac:dyDescent="0.25">
      <c r="A39" s="100" t="s">
        <v>154</v>
      </c>
      <c r="B39" s="44" t="s">
        <v>103</v>
      </c>
      <c r="C39" s="47" t="s">
        <v>35</v>
      </c>
      <c r="D39" s="37"/>
      <c r="E39" s="9">
        <f t="shared" si="9"/>
        <v>0</v>
      </c>
      <c r="F39" s="43">
        <v>0</v>
      </c>
      <c r="G39" s="43">
        <v>2</v>
      </c>
      <c r="L39" s="80" t="str">
        <f t="shared" si="11"/>
        <v>G30 Functionality to provide a sortable list of tasks, indicating tasks that have not be assigned</v>
      </c>
      <c r="M39" s="80" t="str">
        <f t="shared" si="12"/>
        <v>MW</v>
      </c>
      <c r="N39" s="80">
        <f t="shared" si="5"/>
        <v>2</v>
      </c>
      <c r="O39" s="9">
        <f t="shared" si="10"/>
        <v>0</v>
      </c>
      <c r="P39" s="9">
        <f t="shared" si="10"/>
        <v>0</v>
      </c>
      <c r="Q39" s="9" t="str">
        <f t="shared" si="10"/>
        <v>MW2</v>
      </c>
      <c r="R39" s="9">
        <f t="shared" si="10"/>
        <v>0</v>
      </c>
      <c r="S39" s="9">
        <f t="shared" si="10"/>
        <v>0</v>
      </c>
    </row>
    <row r="40" spans="1:19" x14ac:dyDescent="0.25">
      <c r="A40" s="100" t="s">
        <v>155</v>
      </c>
      <c r="B40" s="45" t="s">
        <v>81</v>
      </c>
      <c r="C40" s="36" t="s">
        <v>35</v>
      </c>
      <c r="D40" s="46"/>
      <c r="E40" s="9">
        <f t="shared" si="9"/>
        <v>3</v>
      </c>
      <c r="F40" s="43"/>
      <c r="G40" s="43"/>
      <c r="L40" s="80" t="str">
        <f t="shared" si="11"/>
        <v>G40 Safeguards to prevent common errors</v>
      </c>
      <c r="M40" s="80" t="str">
        <f t="shared" si="12"/>
        <v>MW</v>
      </c>
      <c r="N40" s="80">
        <f t="shared" si="5"/>
        <v>3</v>
      </c>
      <c r="O40" s="9">
        <f t="shared" si="10"/>
        <v>0</v>
      </c>
      <c r="P40" s="9">
        <f t="shared" si="10"/>
        <v>0</v>
      </c>
      <c r="Q40" s="9" t="str">
        <f t="shared" si="10"/>
        <v>MW3</v>
      </c>
      <c r="R40" s="9">
        <f t="shared" si="10"/>
        <v>0</v>
      </c>
      <c r="S40" s="9">
        <f t="shared" si="10"/>
        <v>0</v>
      </c>
    </row>
    <row r="41" spans="1:19" ht="30" x14ac:dyDescent="0.25">
      <c r="A41" s="100" t="s">
        <v>156</v>
      </c>
      <c r="B41" s="44" t="s">
        <v>82</v>
      </c>
      <c r="C41" s="36" t="s">
        <v>35</v>
      </c>
      <c r="D41" s="37"/>
      <c r="E41" s="9">
        <f t="shared" si="9"/>
        <v>3</v>
      </c>
      <c r="F41" s="43"/>
      <c r="G41" s="43"/>
      <c r="L41" s="80" t="str">
        <f t="shared" si="11"/>
        <v>H10 Plan for Task 8</v>
      </c>
      <c r="M41" s="80" t="str">
        <f t="shared" si="12"/>
        <v>MB</v>
      </c>
      <c r="N41" s="80">
        <f t="shared" si="5"/>
        <v>3</v>
      </c>
      <c r="O41" s="9">
        <f t="shared" si="10"/>
        <v>0</v>
      </c>
      <c r="P41" s="9">
        <f t="shared" si="10"/>
        <v>0</v>
      </c>
      <c r="Q41" s="9">
        <f t="shared" si="10"/>
        <v>0</v>
      </c>
      <c r="R41" s="9" t="str">
        <f t="shared" si="10"/>
        <v>MB3</v>
      </c>
      <c r="S41" s="9">
        <f t="shared" si="10"/>
        <v>0</v>
      </c>
    </row>
    <row r="42" spans="1:19" s="42" customFormat="1" ht="30" x14ac:dyDescent="0.25">
      <c r="A42" s="100" t="s">
        <v>157</v>
      </c>
      <c r="B42" s="44" t="s">
        <v>83</v>
      </c>
      <c r="C42" s="36" t="s">
        <v>35</v>
      </c>
      <c r="D42" s="37"/>
      <c r="E42" s="9">
        <f t="shared" si="9"/>
        <v>3</v>
      </c>
      <c r="F42" s="43"/>
      <c r="G42" s="43"/>
      <c r="L42" s="80" t="str">
        <f t="shared" si="11"/>
        <v>H12 Login UI</v>
      </c>
      <c r="M42" s="80" t="str">
        <f t="shared" si="12"/>
        <v>MB</v>
      </c>
      <c r="N42" s="80">
        <f t="shared" si="5"/>
        <v>3</v>
      </c>
      <c r="O42" s="9">
        <f t="shared" si="10"/>
        <v>0</v>
      </c>
      <c r="P42" s="9">
        <f t="shared" si="10"/>
        <v>0</v>
      </c>
      <c r="Q42" s="9">
        <f t="shared" si="10"/>
        <v>0</v>
      </c>
      <c r="R42" s="9" t="str">
        <f t="shared" si="10"/>
        <v>MB3</v>
      </c>
      <c r="S42" s="9">
        <f t="shared" si="10"/>
        <v>0</v>
      </c>
    </row>
    <row r="43" spans="1:19" x14ac:dyDescent="0.25">
      <c r="A43" s="100" t="s">
        <v>158</v>
      </c>
      <c r="B43" s="45" t="s">
        <v>84</v>
      </c>
      <c r="C43" s="36" t="s">
        <v>35</v>
      </c>
      <c r="D43" s="46"/>
      <c r="E43" s="9">
        <f t="shared" si="9"/>
        <v>3</v>
      </c>
      <c r="F43" s="43"/>
      <c r="G43" s="43"/>
      <c r="L43" s="80" t="str">
        <f t="shared" si="11"/>
        <v>H20 Functionality to provide a way for users to log on</v>
      </c>
      <c r="M43" s="80" t="str">
        <f t="shared" si="12"/>
        <v>MB</v>
      </c>
      <c r="N43" s="80">
        <f t="shared" si="5"/>
        <v>3</v>
      </c>
      <c r="O43" s="9">
        <f t="shared" si="10"/>
        <v>0</v>
      </c>
      <c r="P43" s="9">
        <f t="shared" si="10"/>
        <v>0</v>
      </c>
      <c r="Q43" s="9">
        <f t="shared" si="10"/>
        <v>0</v>
      </c>
      <c r="R43" s="9" t="str">
        <f t="shared" si="10"/>
        <v>MB3</v>
      </c>
      <c r="S43" s="9">
        <f t="shared" si="10"/>
        <v>0</v>
      </c>
    </row>
    <row r="44" spans="1:19" x14ac:dyDescent="0.25">
      <c r="A44" s="100" t="s">
        <v>159</v>
      </c>
      <c r="B44" s="44" t="s">
        <v>104</v>
      </c>
      <c r="C44" s="47" t="s">
        <v>36</v>
      </c>
      <c r="D44" s="37"/>
      <c r="E44" s="9">
        <f t="shared" si="9"/>
        <v>0</v>
      </c>
      <c r="F44" s="43">
        <v>0</v>
      </c>
      <c r="G44" s="43">
        <v>2</v>
      </c>
      <c r="L44" s="80" t="str">
        <f t="shared" si="11"/>
        <v>H30 Functionality for adding new users</v>
      </c>
      <c r="M44" s="80" t="str">
        <f t="shared" si="12"/>
        <v>MB</v>
      </c>
      <c r="N44" s="80">
        <f t="shared" si="5"/>
        <v>2</v>
      </c>
      <c r="O44" s="9">
        <f t="shared" si="10"/>
        <v>0</v>
      </c>
      <c r="P44" s="9">
        <f t="shared" si="10"/>
        <v>0</v>
      </c>
      <c r="Q44" s="9">
        <f t="shared" si="10"/>
        <v>0</v>
      </c>
      <c r="R44" s="9" t="str">
        <f t="shared" si="10"/>
        <v>MB2</v>
      </c>
      <c r="S44" s="9">
        <f t="shared" si="10"/>
        <v>0</v>
      </c>
    </row>
    <row r="45" spans="1:19" x14ac:dyDescent="0.25">
      <c r="A45" s="99" t="s">
        <v>227</v>
      </c>
      <c r="B45" s="90" t="s">
        <v>226</v>
      </c>
      <c r="C45" s="47" t="s">
        <v>36</v>
      </c>
      <c r="D45" s="172" t="s">
        <v>230</v>
      </c>
      <c r="E45" s="9">
        <f t="shared" si="9"/>
        <v>0</v>
      </c>
      <c r="F45" s="43">
        <v>1</v>
      </c>
      <c r="G45" s="43">
        <v>0</v>
      </c>
      <c r="L45" s="80" t="str">
        <f t="shared" si="11"/>
        <v>H40 Functionality for removing users</v>
      </c>
      <c r="M45" s="80" t="str">
        <f t="shared" si="12"/>
        <v>MB</v>
      </c>
      <c r="N45" s="80">
        <f t="shared" si="5"/>
        <v>1</v>
      </c>
      <c r="O45" s="9">
        <f t="shared" si="10"/>
        <v>0</v>
      </c>
      <c r="P45" s="9">
        <f t="shared" si="10"/>
        <v>0</v>
      </c>
      <c r="Q45" s="9">
        <f t="shared" si="10"/>
        <v>0</v>
      </c>
      <c r="R45" s="9" t="str">
        <f t="shared" si="10"/>
        <v>MB1</v>
      </c>
      <c r="S45" s="9">
        <f t="shared" si="10"/>
        <v>0</v>
      </c>
    </row>
    <row r="46" spans="1:19" x14ac:dyDescent="0.25">
      <c r="A46" s="100" t="s">
        <v>160</v>
      </c>
      <c r="B46" s="44" t="s">
        <v>85</v>
      </c>
      <c r="C46" s="36" t="s">
        <v>36</v>
      </c>
      <c r="D46" s="37"/>
      <c r="E46" s="9">
        <f t="shared" si="9"/>
        <v>3</v>
      </c>
      <c r="F46" s="43"/>
      <c r="G46" s="43"/>
      <c r="L46" s="80" t="str">
        <f t="shared" si="11"/>
        <v>H50 Functionality for editing user information</v>
      </c>
      <c r="M46" s="80" t="str">
        <f t="shared" si="12"/>
        <v>MB</v>
      </c>
      <c r="N46" s="80">
        <f t="shared" si="5"/>
        <v>3</v>
      </c>
      <c r="O46" s="9">
        <f t="shared" si="10"/>
        <v>0</v>
      </c>
      <c r="P46" s="9">
        <f t="shared" si="10"/>
        <v>0</v>
      </c>
      <c r="Q46" s="9">
        <f t="shared" si="10"/>
        <v>0</v>
      </c>
      <c r="R46" s="9" t="str">
        <f t="shared" si="10"/>
        <v>MB3</v>
      </c>
      <c r="S46" s="9">
        <f t="shared" si="10"/>
        <v>0</v>
      </c>
    </row>
    <row r="47" spans="1:19" s="42" customFormat="1" x14ac:dyDescent="0.25">
      <c r="A47" s="100" t="s">
        <v>161</v>
      </c>
      <c r="B47" s="44" t="s">
        <v>86</v>
      </c>
      <c r="C47" s="36" t="s">
        <v>36</v>
      </c>
      <c r="D47" s="37"/>
      <c r="E47" s="9">
        <f t="shared" si="9"/>
        <v>3</v>
      </c>
      <c r="F47" s="43"/>
      <c r="G47" s="43"/>
      <c r="L47" s="80" t="str">
        <f t="shared" si="11"/>
        <v xml:space="preserve">H60 Functionality for categorisation of users with appropriate access features </v>
      </c>
      <c r="M47" s="80" t="str">
        <f t="shared" si="12"/>
        <v>MB</v>
      </c>
      <c r="N47" s="80">
        <f t="shared" si="5"/>
        <v>3</v>
      </c>
      <c r="O47" s="9">
        <f t="shared" si="10"/>
        <v>0</v>
      </c>
      <c r="P47" s="9">
        <f t="shared" si="10"/>
        <v>0</v>
      </c>
      <c r="Q47" s="9">
        <f t="shared" si="10"/>
        <v>0</v>
      </c>
      <c r="R47" s="9" t="str">
        <f t="shared" si="10"/>
        <v>MB3</v>
      </c>
      <c r="S47" s="9">
        <f t="shared" si="10"/>
        <v>0</v>
      </c>
    </row>
    <row r="48" spans="1:19" x14ac:dyDescent="0.25">
      <c r="A48" s="100" t="s">
        <v>162</v>
      </c>
      <c r="B48" s="45" t="s">
        <v>87</v>
      </c>
      <c r="C48" s="36" t="s">
        <v>36</v>
      </c>
      <c r="D48" s="46"/>
      <c r="E48" s="9">
        <f t="shared" si="9"/>
        <v>3</v>
      </c>
      <c r="F48" s="43"/>
      <c r="G48" s="43"/>
      <c r="L48" s="80" t="str">
        <f t="shared" si="11"/>
        <v>H70 Software interfaces that provide information to other components when they need to know the identity of the current user</v>
      </c>
      <c r="M48" s="80" t="str">
        <f t="shared" si="12"/>
        <v>MB</v>
      </c>
      <c r="N48" s="80">
        <f t="shared" si="5"/>
        <v>3</v>
      </c>
      <c r="O48" s="9">
        <f t="shared" si="10"/>
        <v>0</v>
      </c>
      <c r="P48" s="9">
        <f t="shared" si="10"/>
        <v>0</v>
      </c>
      <c r="Q48" s="9">
        <f t="shared" si="10"/>
        <v>0</v>
      </c>
      <c r="R48" s="9" t="str">
        <f t="shared" si="10"/>
        <v>MB3</v>
      </c>
      <c r="S48" s="9">
        <f t="shared" si="10"/>
        <v>0</v>
      </c>
    </row>
    <row r="49" spans="1:19" x14ac:dyDescent="0.25">
      <c r="A49" s="100" t="s">
        <v>163</v>
      </c>
      <c r="B49" s="44" t="s">
        <v>88</v>
      </c>
      <c r="C49" s="36" t="s">
        <v>36</v>
      </c>
      <c r="D49" s="37"/>
      <c r="E49" s="9">
        <f t="shared" si="9"/>
        <v>3</v>
      </c>
      <c r="F49" s="43"/>
      <c r="G49" s="43"/>
      <c r="L49" s="80" t="str">
        <f t="shared" si="11"/>
        <v>H80 Functionality to allow users to update security information (passwords)</v>
      </c>
      <c r="M49" s="80" t="str">
        <f t="shared" si="12"/>
        <v>MB</v>
      </c>
      <c r="N49" s="80">
        <f t="shared" si="5"/>
        <v>3</v>
      </c>
      <c r="O49" s="9">
        <f t="shared" si="10"/>
        <v>0</v>
      </c>
      <c r="P49" s="9">
        <f t="shared" si="10"/>
        <v>0</v>
      </c>
      <c r="Q49" s="9">
        <f t="shared" si="10"/>
        <v>0</v>
      </c>
      <c r="R49" s="9" t="str">
        <f t="shared" si="10"/>
        <v>MB3</v>
      </c>
      <c r="S49" s="9">
        <f t="shared" si="10"/>
        <v>0</v>
      </c>
    </row>
    <row r="50" spans="1:19" ht="30" x14ac:dyDescent="0.25">
      <c r="A50" s="100" t="s">
        <v>164</v>
      </c>
      <c r="B50" s="44" t="s">
        <v>89</v>
      </c>
      <c r="C50" s="36" t="s">
        <v>36</v>
      </c>
      <c r="D50" s="37"/>
      <c r="E50" s="9">
        <f t="shared" si="9"/>
        <v>3</v>
      </c>
      <c r="F50" s="43"/>
      <c r="G50" s="43"/>
      <c r="L50" s="80" t="str">
        <f t="shared" si="11"/>
        <v>I10 Functionality to allow staff to log the completion of regular and one-off tasks</v>
      </c>
      <c r="M50" s="80" t="str">
        <f t="shared" si="12"/>
        <v>MW</v>
      </c>
      <c r="N50" s="80">
        <f t="shared" si="5"/>
        <v>3</v>
      </c>
      <c r="O50" s="9">
        <f t="shared" si="10"/>
        <v>0</v>
      </c>
      <c r="P50" s="9">
        <f t="shared" si="10"/>
        <v>0</v>
      </c>
      <c r="Q50" s="9" t="str">
        <f t="shared" si="10"/>
        <v>MW3</v>
      </c>
      <c r="R50" s="9">
        <f t="shared" si="10"/>
        <v>0</v>
      </c>
      <c r="S50" s="9">
        <f t="shared" si="10"/>
        <v>0</v>
      </c>
    </row>
    <row r="51" spans="1:19" ht="45" x14ac:dyDescent="0.25">
      <c r="A51" s="100" t="s">
        <v>165</v>
      </c>
      <c r="B51" s="44" t="s">
        <v>90</v>
      </c>
      <c r="C51" s="36" t="s">
        <v>36</v>
      </c>
      <c r="D51" s="37"/>
      <c r="E51" s="9">
        <f t="shared" si="9"/>
        <v>3</v>
      </c>
      <c r="F51" s="43"/>
      <c r="G51" s="43"/>
      <c r="L51" s="80" t="str">
        <f t="shared" si="11"/>
        <v>I20 Functionality to allow staff to easily find tasks assigned to them, either completed or pending</v>
      </c>
      <c r="M51" s="80" t="str">
        <f t="shared" si="12"/>
        <v>MW</v>
      </c>
      <c r="N51" s="80">
        <f t="shared" si="5"/>
        <v>3</v>
      </c>
      <c r="O51" s="9">
        <f t="shared" si="10"/>
        <v>0</v>
      </c>
      <c r="P51" s="9">
        <f t="shared" si="10"/>
        <v>0</v>
      </c>
      <c r="Q51" s="9" t="str">
        <f t="shared" si="10"/>
        <v>MW3</v>
      </c>
      <c r="R51" s="9">
        <f t="shared" si="10"/>
        <v>0</v>
      </c>
      <c r="S51" s="9">
        <f t="shared" si="10"/>
        <v>0</v>
      </c>
    </row>
    <row r="52" spans="1:19" ht="30" x14ac:dyDescent="0.25">
      <c r="A52" s="100" t="s">
        <v>166</v>
      </c>
      <c r="B52" s="44" t="s">
        <v>91</v>
      </c>
      <c r="C52" s="36" t="s">
        <v>36</v>
      </c>
      <c r="D52" s="37"/>
      <c r="E52" s="9">
        <f t="shared" si="9"/>
        <v>3</v>
      </c>
      <c r="F52" s="43"/>
      <c r="G52" s="43"/>
      <c r="L52" s="80" t="str">
        <f t="shared" si="11"/>
        <v>I30 Functionality to allow staff (including managers) to edit the record of tasks completed</v>
      </c>
      <c r="M52" s="80" t="str">
        <f t="shared" si="12"/>
        <v>MW</v>
      </c>
      <c r="N52" s="80">
        <f t="shared" si="5"/>
        <v>3</v>
      </c>
      <c r="O52" s="9">
        <f t="shared" si="10"/>
        <v>0</v>
      </c>
      <c r="P52" s="9">
        <f t="shared" si="10"/>
        <v>0</v>
      </c>
      <c r="Q52" s="9" t="str">
        <f t="shared" si="10"/>
        <v>MW3</v>
      </c>
      <c r="R52" s="9">
        <f t="shared" si="10"/>
        <v>0</v>
      </c>
      <c r="S52" s="9">
        <f t="shared" si="10"/>
        <v>0</v>
      </c>
    </row>
    <row r="53" spans="1:19" ht="30" x14ac:dyDescent="0.25">
      <c r="A53" s="100" t="s">
        <v>167</v>
      </c>
      <c r="B53" s="44" t="s">
        <v>92</v>
      </c>
      <c r="C53" s="36" t="s">
        <v>35</v>
      </c>
      <c r="D53" s="37"/>
      <c r="E53" s="9">
        <f t="shared" si="9"/>
        <v>3</v>
      </c>
      <c r="F53" s="43"/>
      <c r="G53" s="43"/>
      <c r="L53" s="80" t="str">
        <f t="shared" si="11"/>
        <v>J01 employee screen for manager</v>
      </c>
      <c r="M53" s="80" t="str">
        <f t="shared" si="12"/>
        <v>MW</v>
      </c>
      <c r="N53" s="80">
        <f t="shared" si="5"/>
        <v>3</v>
      </c>
      <c r="O53" s="9">
        <f t="shared" si="10"/>
        <v>0</v>
      </c>
      <c r="P53" s="9">
        <f t="shared" si="10"/>
        <v>0</v>
      </c>
      <c r="Q53" s="9" t="str">
        <f t="shared" si="10"/>
        <v>MW3</v>
      </c>
      <c r="R53" s="9">
        <f t="shared" si="10"/>
        <v>0</v>
      </c>
      <c r="S53" s="9">
        <f t="shared" si="10"/>
        <v>0</v>
      </c>
    </row>
    <row r="54" spans="1:19" ht="30" x14ac:dyDescent="0.25">
      <c r="A54" s="100" t="s">
        <v>168</v>
      </c>
      <c r="B54" s="44" t="s">
        <v>93</v>
      </c>
      <c r="C54" s="36" t="s">
        <v>35</v>
      </c>
      <c r="D54" s="37"/>
      <c r="E54" s="9">
        <f t="shared" si="9"/>
        <v>3</v>
      </c>
      <c r="F54" s="43"/>
      <c r="G54" s="43"/>
      <c r="L54" s="80" t="str">
        <f t="shared" si="11"/>
        <v>J10 Functionality to provide reports on the current status of tasks, particularly overdue tasks</v>
      </c>
      <c r="M54" s="80" t="str">
        <f t="shared" si="12"/>
        <v>GROUP</v>
      </c>
      <c r="N54" s="80">
        <f t="shared" si="5"/>
        <v>3</v>
      </c>
      <c r="O54" s="9">
        <f t="shared" si="10"/>
        <v>0</v>
      </c>
      <c r="P54" s="9">
        <f t="shared" si="10"/>
        <v>0</v>
      </c>
      <c r="Q54" s="9">
        <f t="shared" si="10"/>
        <v>0</v>
      </c>
      <c r="R54" s="9">
        <f t="shared" si="10"/>
        <v>0</v>
      </c>
      <c r="S54" s="9" t="str">
        <f t="shared" si="10"/>
        <v>GROUP3</v>
      </c>
    </row>
    <row r="55" spans="1:19" ht="30" x14ac:dyDescent="0.25">
      <c r="A55" s="100" t="s">
        <v>169</v>
      </c>
      <c r="B55" s="44" t="s">
        <v>94</v>
      </c>
      <c r="C55" s="36" t="s">
        <v>35</v>
      </c>
      <c r="D55" s="37"/>
      <c r="E55" s="9">
        <f t="shared" si="9"/>
        <v>3</v>
      </c>
      <c r="F55" s="43"/>
      <c r="G55" s="43"/>
      <c r="L55" s="80" t="str">
        <f t="shared" si="11"/>
        <v>J20 Functionality to provide reports on the historic performance of staff, particularly signs of poor performance or unequal work load</v>
      </c>
      <c r="M55" s="80" t="str">
        <f t="shared" si="12"/>
        <v>GROUP</v>
      </c>
      <c r="N55" s="80">
        <f t="shared" si="5"/>
        <v>3</v>
      </c>
      <c r="O55" s="9">
        <f t="shared" si="10"/>
        <v>0</v>
      </c>
      <c r="P55" s="9">
        <f t="shared" si="10"/>
        <v>0</v>
      </c>
      <c r="Q55" s="9">
        <f t="shared" si="10"/>
        <v>0</v>
      </c>
      <c r="R55" s="9">
        <f t="shared" si="10"/>
        <v>0</v>
      </c>
      <c r="S55" s="9" t="str">
        <f t="shared" si="10"/>
        <v>GROUP3</v>
      </c>
    </row>
    <row r="56" spans="1:19" x14ac:dyDescent="0.25">
      <c r="A56" s="99" t="s">
        <v>225</v>
      </c>
      <c r="B56" s="90" t="s">
        <v>228</v>
      </c>
      <c r="C56" s="47" t="s">
        <v>35</v>
      </c>
      <c r="D56" s="172" t="s">
        <v>230</v>
      </c>
      <c r="E56" s="9">
        <f t="shared" si="9"/>
        <v>0</v>
      </c>
      <c r="F56" s="43">
        <v>1</v>
      </c>
      <c r="G56" s="43">
        <v>0</v>
      </c>
      <c r="L56" s="80" t="str">
        <f t="shared" si="11"/>
        <v>J30 Functionality to provide reports on the historic completion of tasks, particularly tasks that are often overdue or not completed satisfactorily.</v>
      </c>
      <c r="M56" s="80" t="str">
        <f t="shared" si="12"/>
        <v>GROUP</v>
      </c>
      <c r="N56" s="80">
        <f t="shared" si="5"/>
        <v>1</v>
      </c>
      <c r="O56" s="9">
        <f t="shared" si="10"/>
        <v>0</v>
      </c>
      <c r="P56" s="9">
        <f t="shared" si="10"/>
        <v>0</v>
      </c>
      <c r="Q56" s="9">
        <f t="shared" si="10"/>
        <v>0</v>
      </c>
      <c r="R56" s="9">
        <f t="shared" si="10"/>
        <v>0</v>
      </c>
      <c r="S56" s="9" t="str">
        <f t="shared" si="10"/>
        <v>GROUP1</v>
      </c>
    </row>
    <row r="57" spans="1:19" ht="30" x14ac:dyDescent="0.25">
      <c r="A57" s="100" t="s">
        <v>170</v>
      </c>
      <c r="B57" s="44" t="s">
        <v>95</v>
      </c>
      <c r="C57" s="36" t="s">
        <v>47</v>
      </c>
      <c r="D57" s="37"/>
      <c r="E57" s="9">
        <f t="shared" si="9"/>
        <v>0</v>
      </c>
      <c r="F57" s="43">
        <v>0</v>
      </c>
      <c r="G57" s="43">
        <v>2</v>
      </c>
      <c r="L57" s="80" t="str">
        <f t="shared" si="11"/>
        <v>K10 UI Design (Flow Chart Draft)</v>
      </c>
      <c r="M57" s="80" t="str">
        <f t="shared" si="12"/>
        <v>MW</v>
      </c>
      <c r="N57" s="80">
        <f t="shared" si="5"/>
        <v>2</v>
      </c>
      <c r="O57" s="9">
        <f t="shared" si="10"/>
        <v>0</v>
      </c>
      <c r="P57" s="9">
        <f t="shared" si="10"/>
        <v>0</v>
      </c>
      <c r="Q57" s="9" t="str">
        <f t="shared" si="10"/>
        <v>MW2</v>
      </c>
      <c r="R57" s="9">
        <f t="shared" si="10"/>
        <v>0</v>
      </c>
      <c r="S57" s="9">
        <f t="shared" si="10"/>
        <v>0</v>
      </c>
    </row>
    <row r="58" spans="1:19" ht="45" x14ac:dyDescent="0.25">
      <c r="A58" s="100" t="s">
        <v>171</v>
      </c>
      <c r="B58" s="44" t="s">
        <v>96</v>
      </c>
      <c r="C58" s="36" t="s">
        <v>47</v>
      </c>
      <c r="D58" s="37"/>
      <c r="E58" s="9">
        <f t="shared" si="9"/>
        <v>0</v>
      </c>
      <c r="F58" s="43">
        <v>0</v>
      </c>
      <c r="G58" s="43">
        <v>2</v>
      </c>
      <c r="L58" s="80" t="str">
        <f t="shared" si="11"/>
        <v>K20 UI Design (version 2)</v>
      </c>
      <c r="M58" s="80" t="str">
        <f t="shared" si="12"/>
        <v>MW</v>
      </c>
      <c r="N58" s="80">
        <f t="shared" si="5"/>
        <v>2</v>
      </c>
      <c r="O58" s="9">
        <f t="shared" si="10"/>
        <v>0</v>
      </c>
      <c r="P58" s="9">
        <f t="shared" si="10"/>
        <v>0</v>
      </c>
      <c r="Q58" s="9" t="str">
        <f t="shared" si="10"/>
        <v>MW2</v>
      </c>
      <c r="R58" s="9">
        <f t="shared" si="10"/>
        <v>0</v>
      </c>
      <c r="S58" s="9">
        <f t="shared" si="10"/>
        <v>0</v>
      </c>
    </row>
    <row r="59" spans="1:19" ht="45" x14ac:dyDescent="0.25">
      <c r="A59" s="100" t="s">
        <v>172</v>
      </c>
      <c r="B59" s="44" t="s">
        <v>97</v>
      </c>
      <c r="C59" s="36" t="s">
        <v>47</v>
      </c>
      <c r="D59" s="37"/>
      <c r="E59" s="43"/>
      <c r="F59" s="43"/>
      <c r="G59" s="43"/>
      <c r="L59" s="80" t="str">
        <f t="shared" si="11"/>
        <v>K30 Caretaker ui v2</v>
      </c>
      <c r="M59" s="80" t="str">
        <f t="shared" si="12"/>
        <v>MB</v>
      </c>
      <c r="N59" s="80">
        <f t="shared" si="5"/>
        <v>3</v>
      </c>
      <c r="O59" s="9">
        <f t="shared" si="10"/>
        <v>0</v>
      </c>
      <c r="P59" s="9">
        <f t="shared" si="10"/>
        <v>0</v>
      </c>
      <c r="Q59" s="9">
        <f t="shared" si="10"/>
        <v>0</v>
      </c>
      <c r="R59" s="9" t="str">
        <f t="shared" si="10"/>
        <v>MB3</v>
      </c>
      <c r="S59" s="9">
        <f t="shared" si="10"/>
        <v>0</v>
      </c>
    </row>
    <row r="60" spans="1:19" ht="15" customHeight="1" x14ac:dyDescent="0.25">
      <c r="A60" s="100" t="s">
        <v>173</v>
      </c>
      <c r="B60" s="90" t="s">
        <v>110</v>
      </c>
      <c r="C60" s="36" t="s">
        <v>35</v>
      </c>
      <c r="D60" s="37"/>
      <c r="F60" s="43">
        <v>0</v>
      </c>
      <c r="G60" s="43">
        <v>2</v>
      </c>
      <c r="L60" s="80"/>
      <c r="M60" s="80"/>
      <c r="N60" s="80"/>
    </row>
    <row r="61" spans="1:19" ht="15" customHeight="1" x14ac:dyDescent="0.25">
      <c r="A61" s="100" t="s">
        <v>174</v>
      </c>
      <c r="B61" s="90" t="s">
        <v>195</v>
      </c>
      <c r="C61" s="36" t="s">
        <v>35</v>
      </c>
      <c r="D61" s="46"/>
      <c r="F61" s="43">
        <v>0</v>
      </c>
      <c r="G61" s="43">
        <v>2</v>
      </c>
    </row>
    <row r="62" spans="1:19" ht="15" customHeight="1" x14ac:dyDescent="0.25">
      <c r="A62" s="146" t="s">
        <v>175</v>
      </c>
      <c r="B62" s="148" t="s">
        <v>214</v>
      </c>
      <c r="C62" s="146" t="s">
        <v>36</v>
      </c>
      <c r="D62" s="150"/>
      <c r="E62" s="9">
        <f>IF(SUM(F62:G62)&gt;0,0,3)</f>
        <v>0</v>
      </c>
      <c r="F62" s="43">
        <v>1</v>
      </c>
      <c r="G62" s="43">
        <v>0</v>
      </c>
    </row>
    <row r="65" spans="12:18" ht="15" customHeight="1" x14ac:dyDescent="0.25">
      <c r="O65" s="9">
        <v>3</v>
      </c>
      <c r="P65" s="9">
        <v>1</v>
      </c>
      <c r="Q65" s="9">
        <v>2</v>
      </c>
      <c r="R65" s="78" t="s">
        <v>220</v>
      </c>
    </row>
    <row r="66" spans="12:18" ht="15" customHeight="1" x14ac:dyDescent="0.25">
      <c r="L66" s="151" t="s">
        <v>37</v>
      </c>
      <c r="M66" s="136">
        <f>COUNTIF(M2:M59,L66)</f>
        <v>12</v>
      </c>
      <c r="O66" s="9">
        <f>COUNTIF(O2:O59,CONCATENATE(L66,O65))</f>
        <v>2</v>
      </c>
      <c r="P66" s="9">
        <f>COUNTIF(O2:O59,CONCATENATE(L66,P65))</f>
        <v>1</v>
      </c>
      <c r="Q66" s="9">
        <f>COUNTIF(O2:O59,CONCATENATE(L66,Q65))</f>
        <v>9</v>
      </c>
      <c r="R66" s="9">
        <f>SUM(O66:Q66)</f>
        <v>12</v>
      </c>
    </row>
    <row r="67" spans="12:18" ht="15" customHeight="1" x14ac:dyDescent="0.25">
      <c r="L67" s="151" t="s">
        <v>40</v>
      </c>
      <c r="M67" s="136">
        <f>COUNTIF(M2:M59,L67)</f>
        <v>14</v>
      </c>
      <c r="O67" s="9">
        <f>COUNTIF(P2:P59,CONCATENATE(L67,O65))</f>
        <v>9</v>
      </c>
      <c r="P67" s="9">
        <f>COUNTIF(P2:P59,CONCATENATE(L67,P65))</f>
        <v>1</v>
      </c>
      <c r="Q67" s="9">
        <f>COUNTIF(P2:P59,CONCATENATE(L67,Q65))</f>
        <v>4</v>
      </c>
      <c r="R67" s="9">
        <f>SUM(O67:Q67)</f>
        <v>14</v>
      </c>
    </row>
    <row r="68" spans="12:18" ht="15" customHeight="1" x14ac:dyDescent="0.25">
      <c r="L68" s="151" t="s">
        <v>35</v>
      </c>
      <c r="M68" s="136">
        <f>COUNTIF(M2:M59,L68)</f>
        <v>12</v>
      </c>
      <c r="O68" s="9">
        <f>COUNTIF(Q2:Q59,CONCATENATE(L68,O65))</f>
        <v>9</v>
      </c>
      <c r="P68" s="9">
        <f>COUNTIF(Q2:Q59,CONCATENATE(L68,P65))</f>
        <v>0</v>
      </c>
      <c r="Q68" s="9">
        <f>COUNTIF(Q2:Q59,CONCATENATE(L68,Q65))</f>
        <v>3</v>
      </c>
      <c r="R68" s="9">
        <f>SUM(O68:Q68)</f>
        <v>12</v>
      </c>
    </row>
    <row r="69" spans="12:18" ht="15" customHeight="1" x14ac:dyDescent="0.25">
      <c r="L69" s="151" t="s">
        <v>36</v>
      </c>
      <c r="M69" s="136">
        <f>COUNTIF(M2:M59,L69)</f>
        <v>15</v>
      </c>
      <c r="O69" s="9">
        <f>COUNTIF(R2:R59,CONCATENATE(L69,O65))</f>
        <v>8</v>
      </c>
      <c r="P69" s="9">
        <f>COUNTIF(R2:R59,CONCATENATE(L69,P65))</f>
        <v>4</v>
      </c>
      <c r="Q69" s="9">
        <f>COUNTIF(R2:R59,CONCATENATE(L69,Q65))</f>
        <v>3</v>
      </c>
      <c r="R69" s="9">
        <f>SUM(O69:Q69)</f>
        <v>15</v>
      </c>
    </row>
    <row r="70" spans="12:18" ht="15" customHeight="1" x14ac:dyDescent="0.25">
      <c r="L70" s="151" t="s">
        <v>210</v>
      </c>
      <c r="M70" s="136">
        <f>COUNTIF(M2:M59,L70)</f>
        <v>5</v>
      </c>
      <c r="O70" s="9">
        <f>COUNTIF(S2:S59,CONCATENATE(L70,O65))</f>
        <v>4</v>
      </c>
      <c r="P70" s="9">
        <f>COUNTIF(S2:S59,CONCATENATE(L70,P65))</f>
        <v>1</v>
      </c>
      <c r="Q70" s="9">
        <f>COUNTIF(S2:S59,CONCATENATE(L70,Q65))</f>
        <v>0</v>
      </c>
      <c r="R70" s="9">
        <f>SUM(O70:Q70)</f>
        <v>5</v>
      </c>
    </row>
    <row r="71" spans="12:18" ht="15" customHeight="1" x14ac:dyDescent="0.25">
      <c r="L71" s="151" t="s">
        <v>219</v>
      </c>
      <c r="M71" s="136">
        <f>SUM(M66:M70)</f>
        <v>58</v>
      </c>
      <c r="O71" s="9">
        <f>SUM(O66:O70)</f>
        <v>32</v>
      </c>
      <c r="P71" s="9">
        <f>SUM(P66:P70)</f>
        <v>7</v>
      </c>
      <c r="Q71" s="9">
        <f>SUM(Q66:Q70)</f>
        <v>19</v>
      </c>
      <c r="R71" s="9" t="str">
        <f>CONCATENATE(SUM(O71:Q71),"/",SUM(R66:R70))</f>
        <v>58/58</v>
      </c>
    </row>
  </sheetData>
  <autoFilter ref="A1:D62"/>
  <sortState ref="A2:G58">
    <sortCondition ref="A2:A58"/>
  </sortState>
  <conditionalFormatting sqref="E16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2:G32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60:G62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59:G59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3" operator="equal">
      <formula>3</formula>
    </cfRule>
    <cfRule type="cellIs" dxfId="2" priority="34" operator="equal">
      <formula>0</formula>
    </cfRule>
    <cfRule type="cellIs" dxfId="1" priority="35" operator="equal">
      <formula>2</formula>
    </cfRule>
    <cfRule type="cellIs" dxfId="0" priority="3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F6" sqref="F6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4" customWidth="1"/>
    <col min="45" max="46" width="3.42578125" customWidth="1"/>
  </cols>
  <sheetData>
    <row r="1" spans="1:46" ht="45.75" x14ac:dyDescent="0.25">
      <c r="A1" s="133" t="s">
        <v>0</v>
      </c>
      <c r="B1" s="134">
        <v>43124</v>
      </c>
      <c r="C1" s="134">
        <v>43131</v>
      </c>
      <c r="D1" s="134">
        <v>43138</v>
      </c>
      <c r="E1" s="134">
        <v>43145</v>
      </c>
      <c r="F1" s="134">
        <v>43146</v>
      </c>
      <c r="G1" s="134">
        <v>43152</v>
      </c>
      <c r="H1" s="134">
        <v>43159</v>
      </c>
      <c r="I1" s="134">
        <v>43160</v>
      </c>
      <c r="J1" s="134">
        <v>43166</v>
      </c>
      <c r="K1" s="134">
        <v>43173</v>
      </c>
      <c r="L1" s="134">
        <v>43174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</row>
    <row r="2" spans="1:46" x14ac:dyDescent="0.25">
      <c r="A2" s="102" t="s">
        <v>1</v>
      </c>
      <c r="B2" s="155" t="s">
        <v>2</v>
      </c>
      <c r="C2" s="103" t="s">
        <v>2</v>
      </c>
      <c r="D2" s="104" t="s">
        <v>2</v>
      </c>
      <c r="E2" s="104" t="s">
        <v>2</v>
      </c>
      <c r="F2" s="104" t="s">
        <v>224</v>
      </c>
      <c r="G2" s="103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 x14ac:dyDescent="0.25">
      <c r="A3" s="107" t="s">
        <v>3</v>
      </c>
      <c r="B3" s="156" t="s">
        <v>2</v>
      </c>
      <c r="C3" s="108" t="s">
        <v>2</v>
      </c>
      <c r="D3" s="108" t="s">
        <v>6</v>
      </c>
      <c r="E3" s="154" t="s">
        <v>2</v>
      </c>
      <c r="F3" s="154" t="s">
        <v>2</v>
      </c>
      <c r="G3" s="108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 x14ac:dyDescent="0.25">
      <c r="A4" s="152" t="s">
        <v>5</v>
      </c>
      <c r="B4" s="156" t="s">
        <v>6</v>
      </c>
      <c r="C4" s="108" t="s">
        <v>6</v>
      </c>
      <c r="D4" s="154" t="s">
        <v>2</v>
      </c>
      <c r="E4" s="154" t="s">
        <v>2</v>
      </c>
      <c r="F4" s="154" t="s">
        <v>2</v>
      </c>
      <c r="G4" s="108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10"/>
    </row>
    <row r="5" spans="1:46" x14ac:dyDescent="0.25">
      <c r="A5" s="153" t="s">
        <v>4</v>
      </c>
      <c r="B5" s="157" t="s">
        <v>2</v>
      </c>
      <c r="C5" s="112" t="s">
        <v>2</v>
      </c>
      <c r="D5" s="111" t="s">
        <v>6</v>
      </c>
      <c r="E5" s="112" t="s">
        <v>224</v>
      </c>
      <c r="F5" s="112" t="s">
        <v>2</v>
      </c>
      <c r="G5" s="111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workbookViewId="0">
      <selection activeCell="I6" sqref="I6"/>
    </sheetView>
  </sheetViews>
  <sheetFormatPr defaultRowHeight="15" x14ac:dyDescent="0.2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4" customFormat="1" x14ac:dyDescent="0.25">
      <c r="A1" s="125"/>
      <c r="B1" s="183" t="s">
        <v>204</v>
      </c>
      <c r="C1" s="184"/>
      <c r="D1" s="184"/>
      <c r="E1" s="184"/>
      <c r="F1" s="184"/>
      <c r="G1" s="184"/>
      <c r="H1" s="186"/>
      <c r="I1" s="183" t="s">
        <v>205</v>
      </c>
      <c r="J1" s="184"/>
      <c r="K1" s="184"/>
      <c r="L1" s="184"/>
      <c r="M1" s="184"/>
      <c r="N1" s="185"/>
    </row>
    <row r="2" spans="1:14" ht="15.75" thickBot="1" x14ac:dyDescent="0.3">
      <c r="A2" s="138" t="s">
        <v>0</v>
      </c>
      <c r="B2" s="139" t="s">
        <v>203</v>
      </c>
      <c r="C2" s="181" t="s">
        <v>54</v>
      </c>
      <c r="D2" s="189"/>
      <c r="E2" s="181" t="s">
        <v>55</v>
      </c>
      <c r="F2" s="189"/>
      <c r="G2" s="181" t="s">
        <v>56</v>
      </c>
      <c r="H2" s="189"/>
      <c r="I2" s="190" t="s">
        <v>206</v>
      </c>
      <c r="J2" s="189"/>
      <c r="K2" s="181" t="s">
        <v>208</v>
      </c>
      <c r="L2" s="189"/>
      <c r="M2" s="181" t="s">
        <v>207</v>
      </c>
      <c r="N2" s="182"/>
    </row>
    <row r="3" spans="1:14" x14ac:dyDescent="0.25">
      <c r="A3" s="158" t="s">
        <v>1</v>
      </c>
      <c r="B3" s="119">
        <f>TaskList!M66</f>
        <v>12</v>
      </c>
      <c r="C3" s="118">
        <f>TaskList!O66</f>
        <v>2</v>
      </c>
      <c r="D3" s="116">
        <f>$C3/$B3</f>
        <v>0.16666666666666666</v>
      </c>
      <c r="E3" s="118">
        <f>TaskList!P66</f>
        <v>1</v>
      </c>
      <c r="F3" s="116">
        <f>$E3/$B3</f>
        <v>8.3333333333333329E-2</v>
      </c>
      <c r="G3" s="118">
        <f>TaskList!Q66</f>
        <v>9</v>
      </c>
      <c r="H3" s="116">
        <f>$G3/$B3</f>
        <v>0.75</v>
      </c>
      <c r="I3" s="118">
        <f>COUNTIF(Attendance!B2:AT2,"Y")+COUNTIF(Attendance!B2:AT2,"L")</f>
        <v>4</v>
      </c>
      <c r="J3" s="116">
        <f>I3/COUNTA(Attendance!B2:AT2)</f>
        <v>0.8</v>
      </c>
      <c r="K3" s="118">
        <f>COUNTIF(Attendance!B2:AT2,"L")</f>
        <v>0</v>
      </c>
      <c r="L3" s="116">
        <f>K3/COUNTA(Attendance!B2:AT2)</f>
        <v>0</v>
      </c>
      <c r="M3" s="118">
        <f>COUNTIF(Attendance!B2:AT2,"A")</f>
        <v>1</v>
      </c>
      <c r="N3" s="126">
        <f>M3/COUNTA(Attendance!B2:AT2)</f>
        <v>0.2</v>
      </c>
    </row>
    <row r="4" spans="1:14" x14ac:dyDescent="0.25">
      <c r="A4" s="158" t="s">
        <v>3</v>
      </c>
      <c r="B4" s="119">
        <f>TaskList!M67</f>
        <v>14</v>
      </c>
      <c r="C4" s="118">
        <f>TaskList!O67</f>
        <v>9</v>
      </c>
      <c r="D4" s="116">
        <f t="shared" ref="D4:D7" si="0">$C4/$B4</f>
        <v>0.6428571428571429</v>
      </c>
      <c r="E4" s="118">
        <f>TaskList!P67</f>
        <v>1</v>
      </c>
      <c r="F4" s="116">
        <f t="shared" ref="F4:F7" si="1">$E4/$B4</f>
        <v>7.1428571428571425E-2</v>
      </c>
      <c r="G4" s="118">
        <f>TaskList!Q67</f>
        <v>4</v>
      </c>
      <c r="H4" s="116">
        <f t="shared" ref="H4:H7" si="2">$G4/$B4</f>
        <v>0.2857142857142857</v>
      </c>
      <c r="I4" s="118">
        <f>COUNTIF(Attendance!B3:AT3,"Y")+COUNTIF(Attendance!B3:AT3,"L")</f>
        <v>5</v>
      </c>
      <c r="J4" s="116">
        <f>I4/COUNTA(Attendance!B3:AT3)</f>
        <v>1</v>
      </c>
      <c r="K4" s="118">
        <f>COUNTIF(Attendance!B3:AT3,"L")</f>
        <v>1</v>
      </c>
      <c r="L4" s="116">
        <f>K4/COUNTA(Attendance!B3:AT3)</f>
        <v>0.2</v>
      </c>
      <c r="M4" s="118">
        <f>COUNTIF(Attendance!B3:AT3,"A")</f>
        <v>0</v>
      </c>
      <c r="N4" s="126">
        <f>M4/COUNTA(Attendance!B3:AT3)</f>
        <v>0</v>
      </c>
    </row>
    <row r="5" spans="1:14" s="144" customFormat="1" x14ac:dyDescent="0.25">
      <c r="A5" s="159" t="s">
        <v>5</v>
      </c>
      <c r="B5" s="119">
        <f>TaskList!M68</f>
        <v>12</v>
      </c>
      <c r="C5" s="118">
        <f>TaskList!O68</f>
        <v>9</v>
      </c>
      <c r="D5" s="116">
        <f t="shared" si="0"/>
        <v>0.75</v>
      </c>
      <c r="E5" s="118">
        <f>TaskList!P68</f>
        <v>0</v>
      </c>
      <c r="F5" s="116">
        <f t="shared" si="1"/>
        <v>0</v>
      </c>
      <c r="G5" s="118">
        <f>TaskList!Q68</f>
        <v>3</v>
      </c>
      <c r="H5" s="116">
        <f t="shared" si="2"/>
        <v>0.25</v>
      </c>
      <c r="I5" s="118">
        <f>COUNTIF(Attendance!B4:AT4,"Y")+COUNTIF(Attendance!B4:AT4,"L")</f>
        <v>5</v>
      </c>
      <c r="J5" s="116">
        <f>I5/COUNTA(Attendance!B4:AT4)</f>
        <v>1</v>
      </c>
      <c r="K5" s="118">
        <f>COUNTIF(Attendance!B4:AT4,"L")</f>
        <v>2</v>
      </c>
      <c r="L5" s="116">
        <f>K5/COUNTA(Attendance!B4:AT4)</f>
        <v>0.4</v>
      </c>
      <c r="M5" s="118">
        <f>COUNTIF(Attendance!B4:AT4,"A")</f>
        <v>0</v>
      </c>
      <c r="N5" s="126">
        <f>M5/COUNTA(Attendance!B4:AT4)</f>
        <v>0</v>
      </c>
    </row>
    <row r="6" spans="1:14" x14ac:dyDescent="0.25">
      <c r="A6" s="158" t="s">
        <v>4</v>
      </c>
      <c r="B6" s="119">
        <f>TaskList!M69</f>
        <v>15</v>
      </c>
      <c r="C6" s="118">
        <f>TaskList!O69</f>
        <v>8</v>
      </c>
      <c r="D6" s="116">
        <f t="shared" si="0"/>
        <v>0.53333333333333333</v>
      </c>
      <c r="E6" s="118">
        <f>TaskList!P69</f>
        <v>4</v>
      </c>
      <c r="F6" s="116">
        <f t="shared" si="1"/>
        <v>0.26666666666666666</v>
      </c>
      <c r="G6" s="118">
        <f>TaskList!Q69</f>
        <v>3</v>
      </c>
      <c r="H6" s="116">
        <f t="shared" si="2"/>
        <v>0.2</v>
      </c>
      <c r="I6" s="120">
        <f>COUNTIF(Attendance!B5:AT5,"Y")+COUNTIF(Attendance!B5:AT5,"L")</f>
        <v>4</v>
      </c>
      <c r="J6" s="117">
        <f>I6/COUNTA(Attendance!B5:AT5)</f>
        <v>0.8</v>
      </c>
      <c r="K6" s="120">
        <f>COUNTIF(Attendance!B5:AT5,"L")</f>
        <v>1</v>
      </c>
      <c r="L6" s="117">
        <f>K6/COUNTA(Attendance!B5:AT5)</f>
        <v>0.2</v>
      </c>
      <c r="M6" s="120">
        <f>COUNTIF(Attendance!B5:AT5,"A")</f>
        <v>1</v>
      </c>
      <c r="N6" s="127">
        <f>M6/COUNTA(Attendance!B5:AT5)</f>
        <v>0.2</v>
      </c>
    </row>
    <row r="7" spans="1:14" s="94" customFormat="1" ht="15.75" thickBot="1" x14ac:dyDescent="0.3">
      <c r="A7" s="160" t="s">
        <v>210</v>
      </c>
      <c r="B7" s="128">
        <f>TaskList!M70</f>
        <v>5</v>
      </c>
      <c r="C7" s="129">
        <f>TaskList!O70</f>
        <v>4</v>
      </c>
      <c r="D7" s="130">
        <f t="shared" si="0"/>
        <v>0.8</v>
      </c>
      <c r="E7" s="129">
        <f>TaskList!P70</f>
        <v>1</v>
      </c>
      <c r="F7" s="130">
        <f t="shared" si="1"/>
        <v>0.2</v>
      </c>
      <c r="G7" s="129">
        <f>TaskList!Q70</f>
        <v>0</v>
      </c>
      <c r="H7" s="130">
        <f t="shared" si="2"/>
        <v>0</v>
      </c>
      <c r="I7" s="161"/>
      <c r="J7" s="162"/>
      <c r="K7" s="163"/>
      <c r="L7" s="162"/>
      <c r="M7" s="163"/>
      <c r="N7" s="164"/>
    </row>
    <row r="8" spans="1:14" s="94" customFormat="1" ht="5.0999999999999996" customHeight="1" thickBot="1" x14ac:dyDescent="0.3">
      <c r="B8" s="9"/>
      <c r="C8" s="9"/>
      <c r="D8" s="101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40" t="s">
        <v>199</v>
      </c>
      <c r="B9" s="187">
        <f>TaskList!M71</f>
        <v>58</v>
      </c>
      <c r="C9" s="188"/>
    </row>
    <row r="10" spans="1:14" x14ac:dyDescent="0.25">
      <c r="A10" s="141" t="s">
        <v>201</v>
      </c>
      <c r="B10" s="115">
        <f>TaskList!O71</f>
        <v>32</v>
      </c>
      <c r="C10" s="126">
        <f>B10/B9</f>
        <v>0.55172413793103448</v>
      </c>
    </row>
    <row r="11" spans="1:14" x14ac:dyDescent="0.25">
      <c r="A11" s="142" t="s">
        <v>200</v>
      </c>
      <c r="B11" s="115">
        <f>TaskList!P71</f>
        <v>7</v>
      </c>
      <c r="C11" s="126">
        <f>B11/B9</f>
        <v>0.1206896551724138</v>
      </c>
    </row>
    <row r="12" spans="1:14" ht="15.75" thickBot="1" x14ac:dyDescent="0.3">
      <c r="A12" s="143" t="s">
        <v>202</v>
      </c>
      <c r="B12" s="131">
        <f>TaskList!Q71</f>
        <v>19</v>
      </c>
      <c r="C12" s="132">
        <f>B12/B9</f>
        <v>0.32758620689655171</v>
      </c>
    </row>
    <row r="13" spans="1:14" x14ac:dyDescent="0.25">
      <c r="C13" s="101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ht="30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ht="30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ht="30" x14ac:dyDescent="0.25">
      <c r="A49" s="44" t="s">
        <v>93</v>
      </c>
      <c r="B49" s="36" t="s">
        <v>35</v>
      </c>
      <c r="C49" s="37"/>
    </row>
    <row r="50" spans="1:3" ht="30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ht="30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2018-02-22T13:39:09Z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